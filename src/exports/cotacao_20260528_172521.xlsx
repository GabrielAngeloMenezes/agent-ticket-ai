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(267)'!$A$1:$H$52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[$R$ -416]#,##0.00"/>
    <numFmt numFmtId="165" formatCode="_-&quot;R$&quot;\ * #,##0.00_-;\-&quot;R$&quot;\ * #,##0.00_-;_-&quot;R$&quot;\ * &quot;-&quot;??_-;_-@_-"/>
    <numFmt numFmtId="166" formatCode="&quot;R$&quot;\ #,##0.00;[Red]\-&quot;R$&quot;\ #,##0.00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color rgb="FF000000"/>
      <sz val="14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Gotham"/>
      <b val="1"/>
      <color theme="1"/>
      <sz val="10"/>
    </font>
    <font>
      <name val="Calibri"/>
      <family val="2"/>
      <color rgb="FF000000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color rgb="FF000000"/>
      <sz val="10"/>
      <scheme val="minor"/>
    </font>
    <font>
      <name val="Arial"/>
      <family val="2"/>
      <color theme="1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E9EA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1" fillId="0" borderId="0"/>
    <xf numFmtId="44" fontId="1" fillId="0" borderId="0"/>
  </cellStyleXfs>
  <cellXfs count="82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14" fontId="7" fillId="0" borderId="2" pivotButton="0" quotePrefix="0" xfId="0"/>
    <xf numFmtId="0" fontId="6" fillId="0" borderId="10" applyAlignment="1" pivotButton="0" quotePrefix="0" xfId="0">
      <alignment horizontal="left"/>
    </xf>
    <xf numFmtId="0" fontId="0" fillId="0" borderId="11" applyAlignment="1" pivotButton="0" quotePrefix="0" xfId="0">
      <alignment horizontal="center" vertical="center"/>
    </xf>
    <xf numFmtId="164" fontId="7" fillId="0" borderId="11" pivotButton="0" quotePrefix="0" xfId="0"/>
    <xf numFmtId="0" fontId="6" fillId="0" borderId="7" applyAlignment="1" pivotButton="0" quotePrefix="0" xfId="0">
      <alignment horizontal="left"/>
    </xf>
    <xf numFmtId="14" fontId="7" fillId="0" borderId="8" pivotButton="0" quotePrefix="0" xfId="0"/>
    <xf numFmtId="0" fontId="9" fillId="0" borderId="0" applyAlignment="1" pivotButton="0" quotePrefix="0" xfId="0">
      <alignment horizontal="left"/>
    </xf>
    <xf numFmtId="0" fontId="9" fillId="0" borderId="0" pivotButton="0" quotePrefix="0" xfId="0"/>
    <xf numFmtId="0" fontId="7" fillId="0" borderId="0" applyAlignment="1" pivotButton="0" quotePrefix="0" xfId="0">
      <alignment horizontal="left"/>
    </xf>
    <xf numFmtId="0" fontId="7" fillId="0" borderId="0" pivotButton="0" quotePrefix="0" xfId="0"/>
    <xf numFmtId="0" fontId="10" fillId="0" borderId="17" applyAlignment="1" pivotButton="0" quotePrefix="0" xfId="0">
      <alignment horizontal="left" vertical="center"/>
    </xf>
    <xf numFmtId="0" fontId="6" fillId="0" borderId="18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/>
    </xf>
    <xf numFmtId="0" fontId="11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/>
    </xf>
    <xf numFmtId="164" fontId="0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12" fillId="0" borderId="17" applyAlignment="1" pivotButton="0" quotePrefix="0" xfId="0">
      <alignment horizontal="left"/>
    </xf>
    <xf numFmtId="0" fontId="12" fillId="0" borderId="17" applyAlignment="1" pivotButton="0" quotePrefix="0" xfId="0">
      <alignment horizontal="center"/>
    </xf>
    <xf numFmtId="0" fontId="13" fillId="0" borderId="17" applyAlignment="1" pivotButton="0" quotePrefix="0" xfId="0">
      <alignment horizontal="left" vertical="center"/>
    </xf>
    <xf numFmtId="165" fontId="12" fillId="0" borderId="17" applyAlignment="1" pivotButton="0" quotePrefix="0" xfId="1">
      <alignment horizontal="left" vertical="center"/>
    </xf>
    <xf numFmtId="0" fontId="12" fillId="0" borderId="17" pivotButton="0" quotePrefix="0" xfId="0"/>
    <xf numFmtId="165" fontId="0" fillId="0" borderId="17" applyAlignment="1" pivotButton="0" quotePrefix="0" xfId="1">
      <alignment horizontal="left" vertical="center"/>
    </xf>
    <xf numFmtId="0" fontId="7" fillId="0" borderId="19" applyAlignment="1" pivotButton="0" quotePrefix="0" xfId="0">
      <alignment horizontal="center"/>
    </xf>
    <xf numFmtId="0" fontId="6" fillId="0" borderId="21" applyAlignment="1" pivotButton="0" quotePrefix="0" xfId="0">
      <alignment horizontal="left"/>
    </xf>
    <xf numFmtId="166" fontId="14" fillId="0" borderId="0" applyAlignment="1" pivotButton="0" quotePrefix="0" xfId="0">
      <alignment horizontal="center"/>
    </xf>
    <xf numFmtId="0" fontId="7" fillId="0" borderId="22" applyAlignment="1" pivotButton="0" quotePrefix="0" xfId="0">
      <alignment horizontal="center"/>
    </xf>
    <xf numFmtId="0" fontId="6" fillId="0" borderId="17" pivotButton="0" quotePrefix="0" xfId="0"/>
    <xf numFmtId="164" fontId="6" fillId="2" borderId="17" pivotButton="0" quotePrefix="0" xfId="0"/>
    <xf numFmtId="0" fontId="14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0" fillId="0" borderId="20" applyAlignment="1" pivotButton="0" quotePrefix="0" xfId="0">
      <alignment horizontal="left" vertical="center"/>
    </xf>
    <xf numFmtId="0" fontId="7" fillId="0" borderId="19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2" fillId="0" borderId="7" applyAlignment="1" pivotButton="0" quotePrefix="0" xfId="0">
      <alignment horizontal="center" vertical="top"/>
    </xf>
    <xf numFmtId="0" fontId="2" fillId="0" borderId="8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0" fontId="3" fillId="0" borderId="4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/>
    </xf>
    <xf numFmtId="0" fontId="3" fillId="0" borderId="6" applyAlignment="1" pivotButton="0" quotePrefix="0" xfId="0">
      <alignment horizontal="center" vertical="top"/>
    </xf>
    <xf numFmtId="0" fontId="5" fillId="0" borderId="3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 wrapText="1"/>
    </xf>
    <xf numFmtId="0" fontId="5" fillId="0" borderId="5" applyAlignment="1" pivotButton="0" quotePrefix="0" xfId="0">
      <alignment horizontal="center" vertical="top" wrapText="1"/>
    </xf>
    <xf numFmtId="0" fontId="5" fillId="0" borderId="6" applyAlignment="1" pivotButton="0" quotePrefix="0" xfId="0">
      <alignment horizontal="center" vertical="top" wrapText="1"/>
    </xf>
    <xf numFmtId="0" fontId="6" fillId="0" borderId="9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0" fontId="8" fillId="0" borderId="12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11" fillId="0" borderId="17" pivotButton="0" quotePrefix="0" xfId="0"/>
    <xf numFmtId="165" fontId="0" fillId="0" borderId="17" pivotButton="0" quotePrefix="0" xfId="1"/>
    <xf numFmtId="165" fontId="11" fillId="0" borderId="17" pivotButton="0" quotePrefix="0" xfId="1"/>
    <xf numFmtId="0" fontId="0" fillId="0" borderId="24" pivotButton="0" quotePrefix="0" xfId="0"/>
    <xf numFmtId="0" fontId="0" fillId="0" borderId="28" pivotButton="0" quotePrefix="0" xfId="0"/>
    <xf numFmtId="0" fontId="0" fillId="0" borderId="9" pivotButton="0" quotePrefix="0" xfId="0"/>
    <xf numFmtId="0" fontId="0" fillId="0" borderId="26" pivotButton="0" quotePrefix="0" xfId="0"/>
    <xf numFmtId="0" fontId="0" fillId="0" borderId="27" pivotButton="0" quotePrefix="0" xfId="0"/>
    <xf numFmtId="0" fontId="8" fillId="0" borderId="2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5" fontId="0" fillId="0" borderId="17" pivotButton="0" quotePrefix="0" xfId="1"/>
    <xf numFmtId="165" fontId="11" fillId="0" borderId="17" pivotButton="0" quotePrefix="0" xfId="1"/>
    <xf numFmtId="165" fontId="12" fillId="0" borderId="17" applyAlignment="1" pivotButton="0" quotePrefix="0" xfId="1">
      <alignment horizontal="left" vertical="center"/>
    </xf>
    <xf numFmtId="165" fontId="0" fillId="0" borderId="17" applyAlignment="1" pivotButton="0" quotePrefix="0" xfId="1">
      <alignment horizontal="left" vertical="center"/>
    </xf>
    <xf numFmtId="0" fontId="0" fillId="0" borderId="19" pivotButton="0" quotePrefix="0" xfId="0"/>
    <xf numFmtId="166" fontId="14" fillId="0" borderId="0" applyAlignment="1" pivotButton="0" quotePrefix="0" xfId="0">
      <alignment horizontal="center"/>
    </xf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53"/>
  <sheetViews>
    <sheetView showGridLines="0" tabSelected="1" zoomScaleNormal="100" workbookViewId="0">
      <pane ySplit="10" topLeftCell="A11" activePane="bottomLeft" state="frozen"/>
      <selection pane="bottomLeft" activeCell="C15" sqref="C15"/>
    </sheetView>
  </sheetViews>
  <sheetFormatPr baseColWidth="8" defaultRowHeight="15"/>
  <cols>
    <col width="2.28515625" customWidth="1" min="1" max="1"/>
    <col width="49" customWidth="1" style="1" min="2" max="2"/>
    <col width="14.5703125" customWidth="1" min="3" max="3"/>
    <col width="19" customWidth="1" min="4" max="4"/>
    <col width="20" customWidth="1" min="5" max="5"/>
    <col width="14.7109375" customWidth="1" min="6" max="6"/>
    <col width="17.85546875" bestFit="1" customWidth="1" min="7" max="7"/>
    <col width="2.7109375" customWidth="1" min="8" max="8"/>
    <col hidden="1" min="9" max="15"/>
  </cols>
  <sheetData>
    <row r="1" ht="12" customHeight="1" thickBot="1"/>
    <row r="2" ht="28.5" customHeight="1" thickBot="1">
      <c r="B2" s="38" t="n"/>
      <c r="C2" s="65" t="n"/>
      <c r="D2" s="42" t="inlineStr">
        <is>
          <t>COTAÇAO</t>
        </is>
      </c>
      <c r="E2" s="66" t="n"/>
      <c r="F2" s="66" t="n"/>
      <c r="G2" s="67" t="n"/>
      <c r="H2" s="2" t="n"/>
    </row>
    <row r="3" ht="36.75" customHeight="1" thickBot="1">
      <c r="B3" s="68" t="n"/>
      <c r="C3" s="69" t="n"/>
      <c r="D3" s="46" t="inlineStr">
        <is>
          <t>AVENIDA PORTUGAL 4262 - BAIRRO ITAPOA                                               BELO HORIZONTE - MG CNPJ 00.289.864/0002-56</t>
        </is>
      </c>
      <c r="E3" s="66" t="n"/>
      <c r="F3" s="66" t="n"/>
      <c r="G3" s="67" t="n"/>
      <c r="H3" s="2" t="n"/>
    </row>
    <row r="4" ht="18" customHeight="1" thickBot="1">
      <c r="B4" s="3" t="inlineStr">
        <is>
          <t>Data</t>
        </is>
      </c>
      <c r="C4" s="4" t="n"/>
      <c r="D4" s="50" t="inlineStr">
        <is>
          <t>Forma de pagamento</t>
        </is>
      </c>
      <c r="E4" s="66" t="n"/>
      <c r="F4" s="66" t="n"/>
      <c r="G4" s="67" t="n"/>
    </row>
    <row r="5" ht="18" customHeight="1">
      <c r="B5" s="5" t="inlineStr">
        <is>
          <t>Nº do orçamento</t>
        </is>
      </c>
      <c r="C5" s="6" t="n"/>
      <c r="D5" s="70" t="inlineStr">
        <is>
          <t>30/60 dias</t>
        </is>
      </c>
      <c r="E5" s="71" t="n"/>
      <c r="F5" s="71" t="n"/>
      <c r="G5" s="72" t="n"/>
    </row>
    <row r="6" ht="15.75" customHeight="1">
      <c r="B6" s="5" t="inlineStr">
        <is>
          <t>Valor total Com Desconto</t>
        </is>
      </c>
      <c r="C6" s="7">
        <f>(G52)</f>
        <v/>
      </c>
      <c r="G6" s="73" t="n"/>
    </row>
    <row r="7" ht="18" customHeight="1" thickBot="1">
      <c r="B7" s="8" t="inlineStr">
        <is>
          <t>Válido até</t>
        </is>
      </c>
      <c r="C7" s="9" t="n"/>
      <c r="D7" s="74" t="n"/>
      <c r="E7" s="74" t="n"/>
      <c r="F7" s="74" t="n"/>
      <c r="G7" s="75" t="n"/>
    </row>
    <row r="8">
      <c r="B8" s="10" t="n"/>
      <c r="C8" s="11" t="n"/>
      <c r="D8" s="11" t="n"/>
      <c r="E8" s="11" t="n"/>
      <c r="F8" s="11" t="n"/>
      <c r="G8" s="11" t="n"/>
    </row>
    <row r="9" ht="15.75" customHeight="1">
      <c r="B9" s="12" t="n"/>
      <c r="C9" s="13" t="n"/>
      <c r="D9" s="13" t="n"/>
      <c r="E9" s="13" t="n"/>
      <c r="F9" s="13" t="n"/>
      <c r="G9" s="13" t="n"/>
    </row>
    <row r="10" ht="15.75" customHeight="1">
      <c r="B10" s="14" t="inlineStr">
        <is>
          <t>CÓDIGO</t>
        </is>
      </c>
      <c r="C10" s="14" t="inlineStr">
        <is>
          <t>QTD</t>
        </is>
      </c>
      <c r="D10" s="35" t="inlineStr">
        <is>
          <t xml:space="preserve">DESCRIÇÃO </t>
        </is>
      </c>
      <c r="E10" s="14" t="inlineStr">
        <is>
          <t>MARCA</t>
        </is>
      </c>
      <c r="F10" s="14" t="inlineStr">
        <is>
          <t>VALOR</t>
        </is>
      </c>
      <c r="G10" s="15" t="inlineStr">
        <is>
          <t>VALOR TOTAL</t>
        </is>
      </c>
    </row>
    <row r="11" ht="18" customHeight="1">
      <c r="B11" s="61" t="inlineStr">
        <is>
          <t>18829</t>
        </is>
      </c>
      <c r="C11" s="61" t="inlineStr">
        <is>
          <t>1</t>
        </is>
      </c>
      <c r="D11" s="62" t="inlineStr">
        <is>
          <t>DE N</t>
        </is>
      </c>
      <c r="E11" s="61" t="n"/>
      <c r="F11" s="76" t="n"/>
      <c r="G11" s="19">
        <f>(C11 * F11)</f>
        <v/>
      </c>
    </row>
    <row r="12" ht="18" customHeight="1">
      <c r="B12" s="61" t="inlineStr">
        <is>
          <t>2197</t>
        </is>
      </c>
      <c r="C12" s="61" t="inlineStr">
        <is>
          <t>8</t>
        </is>
      </c>
      <c r="D12" s="62" t="inlineStr">
        <is>
          <t>XCMG YX M E</t>
        </is>
      </c>
      <c r="E12" s="61" t="n"/>
      <c r="F12" s="76" t="n"/>
      <c r="G12" s="19">
        <f>(C12 * F12)</f>
        <v/>
      </c>
    </row>
    <row r="13" ht="18" customHeight="1">
      <c r="B13" s="61" t="inlineStr">
        <is>
          <t>860162258</t>
        </is>
      </c>
      <c r="C13" s="61" t="inlineStr">
        <is>
          <t>2</t>
        </is>
      </c>
      <c r="D13" s="62" t="inlineStr">
        <is>
          <t>FILTRO AR</t>
        </is>
      </c>
      <c r="E13" s="61" t="n"/>
      <c r="F13" s="76" t="n"/>
      <c r="G13" s="19">
        <f>(C13 * F13)</f>
        <v/>
      </c>
    </row>
    <row r="14" ht="18" customHeight="1">
      <c r="B14" s="61" t="inlineStr">
        <is>
          <t>803580801</t>
        </is>
      </c>
      <c r="C14" s="61" t="inlineStr">
        <is>
          <t>3</t>
        </is>
      </c>
      <c r="D14" s="62" t="inlineStr">
        <is>
          <t>FILTRO AR</t>
        </is>
      </c>
      <c r="E14" s="61" t="n"/>
      <c r="F14" s="76" t="n"/>
      <c r="G14" s="19">
        <f>(C14 * F14)</f>
        <v/>
      </c>
    </row>
    <row r="15" ht="18" customHeight="1">
      <c r="B15" s="61" t="inlineStr">
        <is>
          <t>1220</t>
        </is>
      </c>
      <c r="C15" s="61" t="inlineStr">
        <is>
          <t>4</t>
        </is>
      </c>
      <c r="D15" s="62" t="inlineStr">
        <is>
          <t>FILTRO AR</t>
        </is>
      </c>
      <c r="E15" s="61" t="n"/>
      <c r="F15" s="77" t="n"/>
      <c r="G15" s="19">
        <f>(C15 * F15)</f>
        <v/>
      </c>
    </row>
    <row r="16" ht="18" customHeight="1">
      <c r="B16" s="61" t="inlineStr">
        <is>
          <t>1221</t>
        </is>
      </c>
      <c r="C16" s="61" t="inlineStr">
        <is>
          <t>5</t>
        </is>
      </c>
      <c r="D16" s="62" t="inlineStr">
        <is>
          <t>FILTRO AR</t>
        </is>
      </c>
      <c r="E16" s="61" t="n"/>
      <c r="F16" s="77" t="n"/>
      <c r="G16" s="19">
        <f>(C16 * F16)</f>
        <v/>
      </c>
    </row>
    <row r="17" ht="18" customHeight="1">
      <c r="B17" s="61" t="inlineStr">
        <is>
          <t>220611941</t>
        </is>
      </c>
      <c r="C17" s="61" t="inlineStr">
        <is>
          <t>1</t>
        </is>
      </c>
      <c r="D17" s="62" t="inlineStr">
        <is>
          <t>FILTRO AR</t>
        </is>
      </c>
      <c r="E17" s="61" t="n"/>
      <c r="F17" s="77" t="n"/>
      <c r="G17" s="19">
        <f>(C17 * F17)</f>
        <v/>
      </c>
    </row>
    <row r="18" ht="18" customHeight="1">
      <c r="B18" s="62" t="inlineStr">
        <is>
          <t>3205</t>
        </is>
      </c>
      <c r="C18" s="62" t="inlineStr">
        <is>
          <t>1</t>
        </is>
      </c>
      <c r="D18" s="62" t="inlineStr">
        <is>
          <t>S WECA UN BPO ME GS OME CUR FIL TERD E OS PO</t>
        </is>
      </c>
      <c r="E18" s="62" t="n"/>
      <c r="F18" s="77" t="n"/>
      <c r="G18" s="19">
        <f>(C18 * F18)</f>
        <v/>
      </c>
    </row>
    <row r="19" ht="18" customHeight="1">
      <c r="B19" s="62" t="inlineStr">
        <is>
          <t>95505-0</t>
        </is>
      </c>
      <c r="C19" s="62" t="inlineStr">
        <is>
          <t>1</t>
        </is>
      </c>
      <c r="D19" s="62" t="inlineStr">
        <is>
          <t>FILTRO AR</t>
        </is>
      </c>
      <c r="E19" s="62" t="n"/>
      <c r="F19" s="77" t="n"/>
      <c r="G19" s="19">
        <f>(C19 * F19)</f>
        <v/>
      </c>
    </row>
    <row r="20" ht="18" customHeight="1">
      <c r="B20" s="62" t="inlineStr">
        <is>
          <t>10075</t>
        </is>
      </c>
      <c r="C20" s="62" t="inlineStr">
        <is>
          <t>8</t>
        </is>
      </c>
      <c r="D20" s="62" t="inlineStr">
        <is>
          <t>WEGA UN M E</t>
        </is>
      </c>
      <c r="E20" s="62" t="n"/>
      <c r="F20" s="77" t="n"/>
      <c r="G20" s="19">
        <f>(C20 * F20)</f>
        <v/>
      </c>
    </row>
    <row r="21" ht="18" customHeight="1">
      <c r="B21" s="62" t="inlineStr">
        <is>
          <t>AKX1962</t>
        </is>
      </c>
      <c r="C21" s="62" t="inlineStr">
        <is>
          <t>8</t>
        </is>
      </c>
      <c r="D21" s="62" t="inlineStr">
        <is>
          <t>FILTRO AR</t>
        </is>
      </c>
      <c r="E21" s="62" t="n"/>
      <c r="F21" s="77" t="n"/>
      <c r="G21" s="19">
        <f>(C21 * F21)</f>
        <v/>
      </c>
    </row>
    <row r="22" ht="18" customHeight="1">
      <c r="B22" s="62" t="inlineStr">
        <is>
          <t>P553000</t>
        </is>
      </c>
      <c r="C22" s="62" t="inlineStr">
        <is>
          <t>4</t>
        </is>
      </c>
      <c r="D22" s="62" t="inlineStr">
        <is>
          <t>TOE OE EE OORT UY M E</t>
        </is>
      </c>
      <c r="E22" s="62" t="n"/>
      <c r="F22" s="77" t="n"/>
      <c r="G22" s="19">
        <f>(C22 * F22)</f>
        <v/>
      </c>
    </row>
    <row r="23" ht="18" customHeight="1">
      <c r="B23" s="62" t="inlineStr">
        <is>
          <t>P576047</t>
        </is>
      </c>
      <c r="C23" s="62" t="inlineStr">
        <is>
          <t>1</t>
        </is>
      </c>
      <c r="D23" s="62" t="inlineStr">
        <is>
          <t>FILTRO</t>
        </is>
      </c>
      <c r="E23" s="62" t="n"/>
      <c r="F23" s="77" t="n"/>
      <c r="G23" s="19">
        <f>(C23 * F23)</f>
        <v/>
      </c>
    </row>
    <row r="24" ht="18" customHeight="1">
      <c r="B24" s="62" t="n"/>
      <c r="C24" s="62" t="n"/>
      <c r="D24" s="62" t="n"/>
      <c r="E24" s="62" t="n"/>
      <c r="F24" s="77" t="n"/>
      <c r="G24" s="19">
        <f>(C24 * F24)</f>
        <v/>
      </c>
    </row>
    <row r="25" ht="18" customHeight="1">
      <c r="B25" s="62" t="n"/>
      <c r="C25" s="62" t="n"/>
      <c r="D25" s="62" t="n"/>
      <c r="E25" s="62" t="n"/>
      <c r="F25" s="77" t="n"/>
      <c r="G25" s="19">
        <f>(C25 * F25)</f>
        <v/>
      </c>
    </row>
    <row r="26" ht="18" customHeight="1">
      <c r="B26" s="62" t="n"/>
      <c r="C26" s="62" t="n"/>
      <c r="D26" s="62" t="n"/>
      <c r="E26" s="62" t="n"/>
      <c r="F26" s="77" t="n"/>
      <c r="G26" s="19">
        <f>(C26 * F26)</f>
        <v/>
      </c>
    </row>
    <row r="27" ht="18" customHeight="1">
      <c r="B27" s="62" t="n"/>
      <c r="C27" s="62" t="n"/>
      <c r="D27" s="62" t="n"/>
      <c r="E27" s="62" t="n"/>
      <c r="F27" s="77" t="n"/>
      <c r="G27" s="19">
        <f>(C27 * F27)</f>
        <v/>
      </c>
    </row>
    <row r="28" ht="18" customHeight="1">
      <c r="B28" s="62" t="n"/>
      <c r="C28" s="62" t="n"/>
      <c r="D28" s="62" t="n"/>
      <c r="E28" s="62" t="n"/>
      <c r="F28" s="77" t="n"/>
      <c r="G28" s="19">
        <f>(C28 * F28)</f>
        <v/>
      </c>
    </row>
    <row r="29" ht="18" customHeight="1">
      <c r="B29" s="62" t="n"/>
      <c r="C29" s="62" t="n"/>
      <c r="D29" s="62" t="n"/>
      <c r="E29" s="62" t="n"/>
      <c r="F29" s="77" t="n"/>
      <c r="G29" s="19">
        <f>(C29 * F29)</f>
        <v/>
      </c>
    </row>
    <row r="30" ht="18" customHeight="1">
      <c r="B30" s="61" t="n"/>
      <c r="C30" s="61" t="n"/>
      <c r="D30" s="62" t="n"/>
      <c r="E30" s="62" t="n"/>
      <c r="F30" s="76" t="n"/>
      <c r="G30" s="19">
        <f>(C30 * F30)</f>
        <v/>
      </c>
    </row>
    <row r="31" ht="18" customHeight="1">
      <c r="B31" s="61" t="n"/>
      <c r="C31" s="61" t="n"/>
      <c r="D31" s="62" t="n"/>
      <c r="E31" s="62" t="n"/>
      <c r="F31" s="76" t="n"/>
      <c r="G31" s="19">
        <f>(C31 * F31)</f>
        <v/>
      </c>
    </row>
    <row r="32" ht="18" customHeight="1">
      <c r="B32" s="61" t="n"/>
      <c r="C32" s="61" t="n"/>
      <c r="D32" s="62" t="n"/>
      <c r="E32" s="61" t="n"/>
      <c r="F32" s="76" t="n"/>
      <c r="G32" s="19">
        <f>(C32 * F32)</f>
        <v/>
      </c>
    </row>
    <row r="33" ht="18" customHeight="1">
      <c r="B33" s="61" t="n"/>
      <c r="C33" s="61" t="n"/>
      <c r="D33" s="62" t="n"/>
      <c r="E33" s="61" t="n"/>
      <c r="F33" s="76" t="n"/>
      <c r="G33" s="19">
        <f>(C33 * F33)</f>
        <v/>
      </c>
    </row>
    <row r="34" ht="18" customHeight="1">
      <c r="B34" s="61" t="n"/>
      <c r="C34" s="61" t="n"/>
      <c r="D34" s="62" t="n"/>
      <c r="E34" s="61" t="n"/>
      <c r="F34" s="76" t="n"/>
      <c r="G34" s="19">
        <f>(C34 * F34)</f>
        <v/>
      </c>
    </row>
    <row r="35" ht="18" customHeight="1">
      <c r="B35" s="61" t="n"/>
      <c r="C35" s="61" t="n"/>
      <c r="D35" s="62" t="n"/>
      <c r="E35" s="61" t="n"/>
      <c r="F35" s="76" t="n"/>
      <c r="G35" s="19">
        <f>(C35 * F35)</f>
        <v/>
      </c>
    </row>
    <row r="36" ht="18" customHeight="1">
      <c r="B36" s="61" t="n"/>
      <c r="C36" s="61" t="n"/>
      <c r="D36" s="62" t="n"/>
      <c r="E36" s="61" t="n"/>
      <c r="F36" s="76" t="n"/>
      <c r="G36" s="19">
        <f>(C36 * F36)</f>
        <v/>
      </c>
    </row>
    <row r="37" ht="18" customHeight="1">
      <c r="B37" s="61" t="n"/>
      <c r="C37" s="61" t="n"/>
      <c r="D37" s="62" t="n"/>
      <c r="E37" s="61" t="n"/>
      <c r="F37" s="76" t="n"/>
      <c r="G37" s="19">
        <f>(C37 * F37)</f>
        <v/>
      </c>
    </row>
    <row r="38" ht="18" customHeight="1">
      <c r="B38" s="61" t="n"/>
      <c r="C38" s="61" t="n"/>
      <c r="D38" s="62" t="n"/>
      <c r="E38" s="61" t="n"/>
      <c r="F38" s="76" t="n"/>
      <c r="G38" s="19">
        <f>(C38 * F38)</f>
        <v/>
      </c>
    </row>
    <row r="39" ht="18" customHeight="1">
      <c r="B39" s="61" t="n"/>
      <c r="C39" s="61" t="n"/>
      <c r="D39" s="62" t="n"/>
      <c r="E39" s="61" t="n"/>
      <c r="F39" s="76" t="n"/>
      <c r="G39" s="19">
        <f>(C39 * F39)</f>
        <v/>
      </c>
    </row>
    <row r="40" ht="18" customHeight="1">
      <c r="B40" s="61" t="n"/>
      <c r="C40" s="61" t="n"/>
      <c r="D40" s="62" t="n"/>
      <c r="E40" s="61" t="n"/>
      <c r="F40" s="76" t="n"/>
      <c r="G40" s="19">
        <f>(C40 * F40)</f>
        <v/>
      </c>
    </row>
    <row r="41" ht="18" customHeight="1">
      <c r="B41" s="61" t="n"/>
      <c r="C41" s="61" t="n"/>
      <c r="D41" s="62" t="n"/>
      <c r="E41" s="61" t="n"/>
      <c r="F41" s="76" t="n"/>
      <c r="G41" s="19">
        <f>(C41 * F41)</f>
        <v/>
      </c>
    </row>
    <row r="42" hidden="1" ht="18" customHeight="1">
      <c r="B42" s="21" t="n"/>
      <c r="C42" s="22" t="n"/>
      <c r="D42" s="23" t="n"/>
      <c r="E42" s="21" t="n"/>
      <c r="F42" s="78" t="n"/>
      <c r="G42" s="19">
        <f>(C42 * F42)</f>
        <v/>
      </c>
    </row>
    <row r="43" hidden="1" ht="18" customHeight="1">
      <c r="B43" s="21" t="n"/>
      <c r="C43" s="22" t="n"/>
      <c r="D43" s="23" t="n"/>
      <c r="E43" s="21" t="n"/>
      <c r="F43" s="78" t="n"/>
      <c r="G43" s="19">
        <f>(C43 * F43)</f>
        <v/>
      </c>
    </row>
    <row r="44" hidden="1" ht="18" customHeight="1">
      <c r="B44" s="25" t="n"/>
      <c r="C44" s="22" t="n"/>
      <c r="D44" s="23" t="n"/>
      <c r="E44" s="21" t="n"/>
      <c r="F44" s="78" t="n"/>
      <c r="G44" s="19">
        <f>(C44 * F44)</f>
        <v/>
      </c>
    </row>
    <row r="45" hidden="1" ht="18" customHeight="1">
      <c r="B45" s="25" t="n"/>
      <c r="C45" s="22" t="n"/>
      <c r="D45" s="23" t="n"/>
      <c r="E45" s="21" t="n"/>
      <c r="F45" s="78" t="n"/>
      <c r="G45" s="19">
        <f>(C45 * F45)</f>
        <v/>
      </c>
    </row>
    <row r="46" hidden="1" ht="18" customHeight="1">
      <c r="B46" s="61" t="n"/>
      <c r="C46" s="16" t="n"/>
      <c r="D46" s="17" t="n"/>
      <c r="E46" s="18" t="n"/>
      <c r="F46" s="79" t="n"/>
      <c r="G46" s="19">
        <f>(C46 * F46)</f>
        <v/>
      </c>
    </row>
    <row r="47" hidden="1" ht="18" customHeight="1">
      <c r="B47" s="61" t="n"/>
      <c r="C47" s="61" t="n"/>
      <c r="D47" s="17" t="n"/>
      <c r="E47" s="17" t="n"/>
      <c r="F47" s="79" t="n"/>
      <c r="G47" s="19">
        <f>(C47 * F47)</f>
        <v/>
      </c>
    </row>
    <row r="48" hidden="1" ht="18" customHeight="1">
      <c r="B48" s="17" t="n"/>
      <c r="C48" s="17" t="n"/>
      <c r="D48" s="17" t="n"/>
      <c r="E48" s="17" t="n"/>
      <c r="F48" s="79" t="n"/>
      <c r="G48" s="19">
        <f>(C48 * F48)</f>
        <v/>
      </c>
    </row>
    <row r="49" hidden="1" ht="18" customHeight="1">
      <c r="B49" s="17" t="n"/>
      <c r="C49" s="17" t="n"/>
      <c r="D49" s="17" t="n"/>
      <c r="E49" s="17" t="n"/>
      <c r="F49" s="79" t="n"/>
      <c r="G49" s="19">
        <f>(C49 * F49)</f>
        <v/>
      </c>
    </row>
    <row r="50" hidden="1" ht="18" customHeight="1">
      <c r="B50" s="17" t="n"/>
      <c r="C50" s="17" t="n"/>
      <c r="D50" s="17" t="n"/>
      <c r="E50" s="17" t="n"/>
      <c r="F50" s="79" t="n"/>
      <c r="G50" s="19">
        <f>(C50 * F50)</f>
        <v/>
      </c>
    </row>
    <row r="51" ht="15.75" customHeight="1">
      <c r="B51" s="36" t="n"/>
      <c r="C51" s="80" t="n"/>
      <c r="D51" s="80" t="n"/>
      <c r="E51" s="36" t="n"/>
      <c r="F51" s="28" t="n"/>
      <c r="G51" s="81" t="n"/>
    </row>
    <row r="52" ht="15.75" customHeight="1">
      <c r="B52" s="37" t="n"/>
      <c r="E52" s="30" t="n"/>
      <c r="F52" s="31" t="inlineStr">
        <is>
          <t>TOTAL</t>
        </is>
      </c>
      <c r="G52" s="32">
        <f>SUM(G11:G51)</f>
        <v/>
      </c>
    </row>
    <row r="53" ht="15.75" customHeight="1">
      <c r="B53" s="33" t="n"/>
      <c r="C53" s="34" t="n"/>
      <c r="D53" s="34" t="n"/>
      <c r="E53" s="34" t="n"/>
    </row>
  </sheetData>
  <mergeCells count="7">
    <mergeCell ref="D3:G3"/>
    <mergeCell ref="B2:C3"/>
    <mergeCell ref="D5:G7"/>
    <mergeCell ref="B52:D52"/>
    <mergeCell ref="D2:G2"/>
    <mergeCell ref="B51:D51"/>
    <mergeCell ref="D4:G4"/>
  </mergeCells>
  <pageMargins left="0.5118110236220472" right="0.5118110236220472" top="0.7874015748031497" bottom="0.7874015748031497" header="0.3149606299212598" footer="0.3149606299212598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2026-05-28T20:25:21Z</dcterms:modified>
  <cp:lastModifiedBy>User</cp:lastModifiedBy>
</cp:coreProperties>
</file>