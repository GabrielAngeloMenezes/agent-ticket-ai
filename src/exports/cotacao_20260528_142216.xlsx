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(267)'!$A$1:$K$52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[$R$ -416]#,##0.00"/>
    <numFmt numFmtId="165" formatCode="&quot;R$&quot;\ #,##0.00"/>
    <numFmt numFmtId="166" formatCode="_-&quot;R$&quot;\ * #,##0.00_-;\-&quot;R$&quot;\ * #,##0.00_-;_-&quot;R$&quot;\ * &quot;-&quot;??_-;_-@_-"/>
    <numFmt numFmtId="167" formatCode="&quot;R$&quot;\ #,##0.00;[Red]\-&quot;R$&quot;\ #,##0.00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color rgb="FF000000"/>
      <sz val="14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Gotham"/>
      <b val="1"/>
      <color theme="1"/>
      <sz val="10"/>
    </font>
    <font>
      <name val="Gotham"/>
      <sz val="10"/>
    </font>
    <font>
      <name val="Calibri"/>
      <family val="2"/>
      <color rgb="FF000000"/>
      <sz val="11"/>
      <scheme val="minor"/>
    </font>
    <font>
      <name val="Calibri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rgb="FFEAEEF3"/>
        <bgColor indexed="64"/>
      </patternFill>
    </fill>
    <fill>
      <patternFill patternType="solid">
        <fgColor rgb="FFFFFF00"/>
        <bgColor rgb="FFFFE9EA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4" fontId="1" fillId="0" borderId="0"/>
  </cellStyleXfs>
  <cellXfs count="100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4" fillId="0" borderId="0" applyAlignment="1" pivotButton="0" quotePrefix="0" xfId="0">
      <alignment horizontal="right"/>
    </xf>
    <xf numFmtId="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/>
    </xf>
    <xf numFmtId="14" fontId="7" fillId="0" borderId="2" pivotButton="0" quotePrefix="0" xfId="0"/>
    <xf numFmtId="0" fontId="6" fillId="0" borderId="9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10" applyAlignment="1" pivotButton="0" quotePrefix="0" xfId="0">
      <alignment horizontal="left"/>
    </xf>
    <xf numFmtId="0" fontId="0" fillId="0" borderId="11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164" fontId="7" fillId="0" borderId="11" pivotButton="0" quotePrefix="0" xfId="0"/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/>
    </xf>
    <xf numFmtId="14" fontId="7" fillId="0" borderId="8" pivotButton="0" quotePrefix="0" xfId="0"/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0" fillId="0" borderId="17" applyAlignment="1" pivotButton="0" quotePrefix="0" xfId="0">
      <alignment horizontal="left" vertical="center"/>
    </xf>
    <xf numFmtId="0" fontId="10" fillId="0" borderId="17" applyAlignment="1" pivotButton="0" quotePrefix="0" xfId="0">
      <alignment horizontal="left" vertical="center"/>
    </xf>
    <xf numFmtId="0" fontId="11" fillId="0" borderId="17" applyAlignment="1" pivotButton="0" quotePrefix="0" xfId="0">
      <alignment horizontal="left" vertical="center"/>
    </xf>
    <xf numFmtId="0" fontId="6" fillId="0" borderId="18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/>
    </xf>
    <xf numFmtId="0" fontId="0" fillId="0" borderId="17" applyAlignment="1" pivotButton="0" quotePrefix="0" xfId="0">
      <alignment horizontal="center"/>
    </xf>
    <xf numFmtId="0" fontId="12" fillId="0" borderId="17" applyAlignment="1" pivotButton="0" quotePrefix="0" xfId="0">
      <alignment horizontal="left" vertical="center"/>
    </xf>
    <xf numFmtId="0" fontId="12" fillId="2" borderId="17" applyAlignment="1" pivotButton="0" quotePrefix="0" xfId="0">
      <alignment horizontal="left" vertical="center" wrapText="1"/>
    </xf>
    <xf numFmtId="0" fontId="0" fillId="0" borderId="17" applyAlignment="1" pivotButton="0" quotePrefix="0" xfId="0">
      <alignment horizontal="left"/>
    </xf>
    <xf numFmtId="165" fontId="0" fillId="0" borderId="17" applyAlignment="1" pivotButton="0" quotePrefix="0" xfId="1">
      <alignment horizontal="left" vertical="center"/>
    </xf>
    <xf numFmtId="166" fontId="0" fillId="0" borderId="17" applyAlignment="1" pivotButton="0" quotePrefix="0" xfId="1">
      <alignment horizontal="left" vertical="top"/>
    </xf>
    <xf numFmtId="164" fontId="0" fillId="0" borderId="17" applyAlignment="1" pivotButton="0" quotePrefix="0" xfId="0">
      <alignment horizontal="left" vertical="center"/>
    </xf>
    <xf numFmtId="166" fontId="12" fillId="0" borderId="17" applyAlignment="1" pivotButton="0" quotePrefix="0" xfId="1">
      <alignment horizontal="left" vertical="top"/>
    </xf>
    <xf numFmtId="0" fontId="13" fillId="0" borderId="17" applyAlignment="1" pivotButton="0" quotePrefix="0" xfId="0">
      <alignment horizontal="left" vertical="top"/>
    </xf>
    <xf numFmtId="0" fontId="13" fillId="0" borderId="17" applyAlignment="1" pivotButton="0" quotePrefix="0" xfId="0">
      <alignment horizontal="center" vertical="top"/>
    </xf>
    <xf numFmtId="0" fontId="14" fillId="0" borderId="17" pivotButton="0" quotePrefix="0" xfId="0"/>
    <xf numFmtId="0" fontId="15" fillId="2" borderId="17" applyAlignment="1" pivotButton="0" quotePrefix="0" xfId="0">
      <alignment horizontal="left" vertical="center" wrapText="1"/>
    </xf>
    <xf numFmtId="0" fontId="15" fillId="0" borderId="17" applyAlignment="1" pivotButton="0" quotePrefix="0" xfId="0">
      <alignment horizontal="left" vertical="center"/>
    </xf>
    <xf numFmtId="165" fontId="16" fillId="0" borderId="17" applyAlignment="1" pivotButton="0" quotePrefix="0" xfId="1">
      <alignment horizontal="left" vertical="center"/>
    </xf>
    <xf numFmtId="166" fontId="13" fillId="0" borderId="17" applyAlignment="1" pivotButton="0" quotePrefix="0" xfId="1">
      <alignment horizontal="left" vertical="top"/>
    </xf>
    <xf numFmtId="0" fontId="16" fillId="0" borderId="17" applyAlignment="1" pivotButton="0" quotePrefix="0" xfId="0">
      <alignment horizontal="left" vertical="center"/>
    </xf>
    <xf numFmtId="0" fontId="0" fillId="0" borderId="17" pivotButton="0" quotePrefix="0" xfId="0"/>
    <xf numFmtId="166" fontId="16" fillId="0" borderId="17" applyAlignment="1" pivotButton="0" quotePrefix="0" xfId="1">
      <alignment horizontal="left" vertical="center"/>
    </xf>
    <xf numFmtId="0" fontId="17" fillId="0" borderId="17" applyAlignment="1" pivotButton="0" quotePrefix="0" xfId="0">
      <alignment horizontal="left"/>
    </xf>
    <xf numFmtId="0" fontId="17" fillId="0" borderId="17" applyAlignment="1" pivotButton="0" quotePrefix="0" xfId="0">
      <alignment horizontal="center"/>
    </xf>
    <xf numFmtId="0" fontId="18" fillId="0" borderId="17" applyAlignment="1" pivotButton="0" quotePrefix="0" xfId="0">
      <alignment horizontal="left" vertical="center"/>
    </xf>
    <xf numFmtId="0" fontId="18" fillId="2" borderId="17" applyAlignment="1" pivotButton="0" quotePrefix="0" xfId="0">
      <alignment horizontal="left" vertical="center" wrapText="1"/>
    </xf>
    <xf numFmtId="165" fontId="17" fillId="0" borderId="17" applyAlignment="1" pivotButton="0" quotePrefix="0" xfId="1">
      <alignment horizontal="left" vertical="center"/>
    </xf>
    <xf numFmtId="166" fontId="17" fillId="0" borderId="17" applyAlignment="1" pivotButton="0" quotePrefix="0" xfId="1">
      <alignment horizontal="left" vertical="center"/>
    </xf>
    <xf numFmtId="0" fontId="17" fillId="0" borderId="17" pivotButton="0" quotePrefix="0" xfId="0"/>
    <xf numFmtId="166" fontId="0" fillId="0" borderId="17" applyAlignment="1" pivotButton="0" quotePrefix="0" xfId="1">
      <alignment horizontal="left" vertical="center"/>
    </xf>
    <xf numFmtId="0" fontId="7" fillId="0" borderId="19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left"/>
    </xf>
    <xf numFmtId="0" fontId="6" fillId="0" borderId="21" applyAlignment="1" pivotButton="0" quotePrefix="0" xfId="0">
      <alignment horizontal="left"/>
    </xf>
    <xf numFmtId="167" fontId="1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6" fillId="0" borderId="17" pivotButton="0" quotePrefix="0" xfId="0"/>
    <xf numFmtId="164" fontId="6" fillId="3" borderId="17" pivotButton="0" quotePrefix="0" xfId="0"/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/>
    </xf>
    <xf numFmtId="0" fontId="0" fillId="0" borderId="25" pivotButton="0" quotePrefix="0" xfId="0"/>
    <xf numFmtId="0" fontId="0" fillId="0" borderId="29" pivotButton="0" quotePrefix="0" xfId="0"/>
    <xf numFmtId="0" fontId="0" fillId="0" borderId="9" pivotButton="0" quotePrefix="0" xfId="0"/>
    <xf numFmtId="0" fontId="0" fillId="0" borderId="27" pivotButton="0" quotePrefix="0" xfId="0"/>
    <xf numFmtId="0" fontId="0" fillId="0" borderId="28" pivotButton="0" quotePrefix="0" xfId="0"/>
    <xf numFmtId="0" fontId="8" fillId="0" borderId="3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21" pivotButton="0" quotePrefix="0" xfId="0"/>
    <xf numFmtId="166" fontId="0" fillId="0" borderId="17" applyAlignment="1" pivotButton="0" quotePrefix="0" xfId="1">
      <alignment horizontal="left" vertical="top"/>
    </xf>
    <xf numFmtId="166" fontId="12" fillId="0" borderId="17" applyAlignment="1" pivotButton="0" quotePrefix="0" xfId="1">
      <alignment horizontal="left" vertical="top"/>
    </xf>
    <xf numFmtId="166" fontId="13" fillId="0" borderId="17" applyAlignment="1" pivotButton="0" quotePrefix="0" xfId="1">
      <alignment horizontal="left" vertical="top"/>
    </xf>
    <xf numFmtId="166" fontId="16" fillId="0" borderId="17" applyAlignment="1" pivotButton="0" quotePrefix="0" xfId="1">
      <alignment horizontal="left" vertical="center"/>
    </xf>
    <xf numFmtId="166" fontId="17" fillId="0" borderId="17" applyAlignment="1" pivotButton="0" quotePrefix="0" xfId="1">
      <alignment horizontal="left" vertical="center"/>
    </xf>
    <xf numFmtId="166" fontId="0" fillId="0" borderId="17" applyAlignment="1" pivotButton="0" quotePrefix="0" xfId="1">
      <alignment horizontal="left" vertical="center"/>
    </xf>
    <xf numFmtId="0" fontId="0" fillId="0" borderId="19" pivotButton="0" quotePrefix="0" xfId="0"/>
    <xf numFmtId="0" fontId="6" fillId="0" borderId="17" applyAlignment="1" pivotButton="0" quotePrefix="0" xfId="0">
      <alignment horizontal="left"/>
    </xf>
    <xf numFmtId="167" fontId="19" fillId="0" borderId="0" applyAlignment="1" pivotButton="0" quotePrefix="0" xfId="0">
      <alignment horizont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0" tabSelected="1" zoomScaleNormal="100" workbookViewId="0">
      <pane ySplit="10" topLeftCell="A11" activePane="bottomLeft" state="frozen"/>
      <selection pane="bottomLeft" activeCell="B22" sqref="B22"/>
    </sheetView>
  </sheetViews>
  <sheetFormatPr baseColWidth="8" defaultRowHeight="15"/>
  <cols>
    <col width="2.28515625" customWidth="1" min="1" max="1"/>
    <col width="49" customWidth="1" style="1" min="2" max="2"/>
    <col width="14.5703125" customWidth="1" min="3" max="3"/>
    <col hidden="1" min="4" max="4"/>
    <col width="33.5703125" customWidth="1" min="5" max="5"/>
    <col hidden="1" width="24.7109375" customWidth="1" min="6" max="6"/>
    <col width="20" customWidth="1" min="7" max="7"/>
    <col hidden="1" width="10.140625" customWidth="1" min="8" max="8"/>
    <col width="14.7109375" customWidth="1" min="9" max="9"/>
    <col width="17.85546875" bestFit="1" customWidth="1" min="10" max="10"/>
    <col width="2.7109375" customWidth="1" min="11" max="11"/>
    <col hidden="1" min="12" max="18"/>
  </cols>
  <sheetData>
    <row r="1" ht="12" customHeight="1" thickBot="1"/>
    <row r="2" ht="28.5" customHeight="1" thickBot="1">
      <c r="B2" s="2" t="n"/>
      <c r="C2" s="79" t="n"/>
      <c r="D2" s="4" t="inlineStr">
        <is>
          <t>COTAÇAO</t>
        </is>
      </c>
      <c r="E2" s="80" t="n"/>
      <c r="F2" s="80" t="n"/>
      <c r="G2" s="80" t="n"/>
      <c r="H2" s="80" t="n"/>
      <c r="I2" s="80" t="n"/>
      <c r="J2" s="81" t="n"/>
      <c r="K2" s="8" t="n"/>
    </row>
    <row r="3" ht="36.75" customHeight="1" thickBot="1">
      <c r="B3" s="82" t="n"/>
      <c r="C3" s="83" t="n"/>
      <c r="D3" s="11" t="inlineStr">
        <is>
          <t>AVENIDA PORTUGAL 4262 - BAIRRO ITAPOA                                               BELO HORIZONTE - MG CNPJ 00.289.864/0002-56</t>
        </is>
      </c>
      <c r="E3" s="80" t="n"/>
      <c r="F3" s="80" t="n"/>
      <c r="G3" s="80" t="n"/>
      <c r="H3" s="80" t="n"/>
      <c r="I3" s="80" t="n"/>
      <c r="J3" s="81" t="n"/>
      <c r="K3" s="8" t="n"/>
    </row>
    <row r="4" ht="18" customHeight="1" thickBot="1">
      <c r="B4" s="15" t="inlineStr">
        <is>
          <t>Data</t>
        </is>
      </c>
      <c r="C4" s="16" t="n"/>
      <c r="D4" s="17" t="inlineStr">
        <is>
          <t>Forma de pagamento</t>
        </is>
      </c>
      <c r="E4" s="80" t="n"/>
      <c r="F4" s="80" t="n"/>
      <c r="G4" s="80" t="n"/>
      <c r="H4" s="80" t="n"/>
      <c r="I4" s="80" t="n"/>
      <c r="J4" s="81" t="n"/>
    </row>
    <row r="5" ht="18" customHeight="1">
      <c r="B5" s="21" t="inlineStr">
        <is>
          <t>Nº do orçamento</t>
        </is>
      </c>
      <c r="C5" s="22" t="n"/>
      <c r="D5" s="84" t="inlineStr">
        <is>
          <t>30/60 dias</t>
        </is>
      </c>
      <c r="E5" s="85" t="n"/>
      <c r="F5" s="85" t="n"/>
      <c r="G5" s="85" t="n"/>
      <c r="H5" s="85" t="n"/>
      <c r="I5" s="85" t="n"/>
      <c r="J5" s="86" t="n"/>
    </row>
    <row r="6" ht="15.75" customHeight="1">
      <c r="B6" s="21" t="inlineStr">
        <is>
          <t>Valor total Com Desconto</t>
        </is>
      </c>
      <c r="C6" s="25">
        <f>(J52)</f>
        <v/>
      </c>
      <c r="J6" s="87" t="n"/>
    </row>
    <row r="7" ht="18" customHeight="1" thickBot="1">
      <c r="B7" s="29" t="inlineStr">
        <is>
          <t>Válido até</t>
        </is>
      </c>
      <c r="C7" s="30" t="n"/>
      <c r="D7" s="88" t="n"/>
      <c r="E7" s="88" t="n"/>
      <c r="F7" s="88" t="n"/>
      <c r="G7" s="88" t="n"/>
      <c r="H7" s="88" t="n"/>
      <c r="I7" s="88" t="n"/>
      <c r="J7" s="89" t="n"/>
    </row>
    <row r="8">
      <c r="B8" s="33" t="n"/>
      <c r="C8" s="34" t="n"/>
      <c r="D8" s="34" t="n"/>
      <c r="E8" s="34" t="n"/>
      <c r="F8" s="34" t="n"/>
      <c r="G8" s="34" t="n"/>
      <c r="H8" s="34" t="n"/>
      <c r="I8" s="34" t="n"/>
      <c r="J8" s="34" t="n"/>
    </row>
    <row r="9" ht="15.75" customHeight="1">
      <c r="B9" s="35" t="n"/>
      <c r="C9" s="36" t="n"/>
      <c r="D9" s="36" t="n"/>
      <c r="E9" s="34" t="n"/>
      <c r="F9" s="36" t="n"/>
      <c r="G9" s="36" t="n"/>
      <c r="H9" s="36" t="n"/>
      <c r="I9" s="36" t="n"/>
      <c r="J9" s="36" t="n"/>
    </row>
    <row r="10" ht="15.75" customHeight="1">
      <c r="B10" s="38" t="inlineStr">
        <is>
          <t>CÓDIGO</t>
        </is>
      </c>
      <c r="C10" s="38" t="inlineStr">
        <is>
          <t>QTD</t>
        </is>
      </c>
      <c r="D10" s="38" t="inlineStr">
        <is>
          <t xml:space="preserve">DESCRIÇÃO </t>
        </is>
      </c>
      <c r="E10" s="90" t="n"/>
      <c r="F10" s="38" t="inlineStr">
        <is>
          <t>ENTREGA</t>
        </is>
      </c>
      <c r="G10" s="38" t="inlineStr">
        <is>
          <t>MARCA</t>
        </is>
      </c>
      <c r="H10" s="38" t="inlineStr">
        <is>
          <t>ENTREGA</t>
        </is>
      </c>
      <c r="I10" s="38" t="inlineStr">
        <is>
          <t>VALOR</t>
        </is>
      </c>
      <c r="J10" s="40" t="inlineStr">
        <is>
          <t>VALOR TOTAL</t>
        </is>
      </c>
    </row>
    <row r="11" hidden="1" ht="18" customHeight="1">
      <c r="A11" t="inlineStr">
        <is>
          <t>AKX1967</t>
        </is>
      </c>
      <c r="B11" s="45" t="n"/>
      <c r="C11" s="42" t="inlineStr">
        <is>
          <t>FILTRO</t>
        </is>
      </c>
      <c r="D11" s="43" t="n"/>
      <c r="E11" s="45" t="n"/>
      <c r="F11" s="44" t="n"/>
      <c r="G11" s="45" t="n"/>
      <c r="H11" s="46" t="n"/>
      <c r="I11" s="91" t="n"/>
      <c r="J11" s="48">
        <f>(C11 * I11)</f>
        <v/>
      </c>
    </row>
    <row r="12" hidden="1" ht="18" customHeight="1">
      <c r="A12" t="inlineStr">
        <is>
          <t>40505086</t>
        </is>
      </c>
      <c r="B12" s="45" t="n"/>
      <c r="C12" s="42" t="inlineStr">
        <is>
          <t>FILTRO</t>
        </is>
      </c>
      <c r="D12" s="43" t="n"/>
      <c r="E12" s="45" t="n"/>
      <c r="F12" s="44" t="n"/>
      <c r="G12" s="45" t="n"/>
      <c r="H12" s="46" t="n"/>
      <c r="I12" s="91" t="n"/>
      <c r="J12" s="48">
        <f>(C12 * I12)</f>
        <v/>
      </c>
    </row>
    <row r="13" hidden="1" ht="18" customHeight="1">
      <c r="A13" t="inlineStr">
        <is>
          <t>40505085</t>
        </is>
      </c>
      <c r="B13" s="45" t="n"/>
      <c r="C13" s="42" t="inlineStr">
        <is>
          <t>FILTRO</t>
        </is>
      </c>
      <c r="D13" s="43" t="n"/>
      <c r="E13" s="45" t="n"/>
      <c r="F13" s="44" t="n"/>
      <c r="G13" s="45" t="n"/>
      <c r="H13" s="46" t="n"/>
      <c r="I13" s="91" t="n"/>
      <c r="J13" s="48">
        <f>(C13 * I13)</f>
        <v/>
      </c>
    </row>
    <row r="14" hidden="1" ht="18" customHeight="1">
      <c r="A14" t="inlineStr">
        <is>
          <t>CUD4720</t>
        </is>
      </c>
      <c r="B14" s="45" t="n"/>
      <c r="C14" s="42" t="inlineStr">
        <is>
          <t>FILTRO</t>
        </is>
      </c>
      <c r="D14" s="43" t="n"/>
      <c r="E14" s="45" t="n"/>
      <c r="F14" s="44" t="n"/>
      <c r="G14" s="45" t="n"/>
      <c r="H14" s="46" t="n"/>
      <c r="I14" s="91" t="n"/>
      <c r="J14" s="48">
        <f>(C14 * I14)</f>
        <v/>
      </c>
    </row>
    <row r="15" hidden="1" ht="18" customHeight="1">
      <c r="A15" t="inlineStr">
        <is>
          <t>AI7EIZA</t>
        </is>
      </c>
      <c r="B15" s="45" t="n"/>
      <c r="C15" s="42" t="inlineStr">
        <is>
          <t>FILTRO AR</t>
        </is>
      </c>
      <c r="D15" s="43" t="n"/>
      <c r="E15" s="45" t="n"/>
      <c r="F15" s="44" t="n"/>
      <c r="G15" s="45" t="n"/>
      <c r="H15" s="46" t="n"/>
      <c r="I15" s="92" t="n"/>
      <c r="J15" s="48">
        <f>(C15 * I15)</f>
        <v/>
      </c>
    </row>
    <row r="16" hidden="1" ht="18" customHeight="1">
      <c r="A16" t="inlineStr">
        <is>
          <t>55051973</t>
        </is>
      </c>
      <c r="B16" s="45" t="n"/>
      <c r="C16" s="42" t="inlineStr">
        <is>
          <t>FILTRO AR</t>
        </is>
      </c>
      <c r="D16" s="43" t="n"/>
      <c r="E16" s="45" t="n"/>
      <c r="F16" s="44" t="n"/>
      <c r="G16" s="45" t="n"/>
      <c r="H16" s="46" t="n"/>
      <c r="I16" s="92" t="n"/>
      <c r="J16" s="48">
        <f>(C16 * I16)</f>
        <v/>
      </c>
    </row>
    <row r="17" hidden="1" ht="18" customHeight="1">
      <c r="A17" t="inlineStr">
        <is>
          <t>917804</t>
        </is>
      </c>
      <c r="B17" s="45" t="n"/>
      <c r="C17" s="42" t="inlineStr">
        <is>
          <t>FILTRO</t>
        </is>
      </c>
      <c r="D17" s="43" t="n"/>
      <c r="E17" s="45" t="n"/>
      <c r="F17" s="44" t="n"/>
      <c r="G17" s="45" t="n"/>
      <c r="H17" s="46" t="n"/>
      <c r="I17" s="92" t="n"/>
      <c r="J17" s="48">
        <f>(C17 * I17)</f>
        <v/>
      </c>
    </row>
    <row r="18" ht="18" customHeight="1">
      <c r="A18" t="inlineStr">
        <is>
          <t>917805</t>
        </is>
      </c>
      <c r="B18" s="50" t="n"/>
      <c r="C18" s="51" t="inlineStr">
        <is>
          <t>FILTRO</t>
        </is>
      </c>
      <c r="D18" s="50" t="n"/>
      <c r="E18" s="52" t="n"/>
      <c r="F18" s="53" t="n"/>
      <c r="G18" s="54" t="n"/>
      <c r="H18" s="55" t="n"/>
      <c r="I18" s="93" t="n"/>
      <c r="J18" s="48">
        <f>(C18 * I18)</f>
        <v/>
      </c>
    </row>
    <row r="19" ht="18" customHeight="1">
      <c r="B19" s="50" t="n"/>
      <c r="C19" s="51" t="n"/>
      <c r="D19" s="50" t="n"/>
      <c r="E19" s="52" t="n"/>
      <c r="F19" s="53" t="n"/>
      <c r="G19" s="54" t="n"/>
      <c r="H19" s="55" t="n"/>
      <c r="I19" s="93" t="n"/>
      <c r="J19" s="48">
        <f>(C19 * I19)</f>
        <v/>
      </c>
    </row>
    <row r="20" ht="18" customHeight="1">
      <c r="B20" s="50" t="n"/>
      <c r="C20" s="51" t="n"/>
      <c r="D20" s="50" t="n"/>
      <c r="E20" s="52" t="n"/>
      <c r="F20" s="53" t="n"/>
      <c r="G20" s="54" t="n"/>
      <c r="H20" s="55" t="n"/>
      <c r="I20" s="93" t="n"/>
      <c r="J20" s="48">
        <f>(C20 * I20)</f>
        <v/>
      </c>
    </row>
    <row r="21" ht="18" customHeight="1">
      <c r="B21" s="50" t="n"/>
      <c r="C21" s="51" t="n"/>
      <c r="D21" s="50" t="n"/>
      <c r="E21" s="52" t="n"/>
      <c r="F21" s="53" t="n"/>
      <c r="G21" s="54" t="n"/>
      <c r="H21" s="55" t="n"/>
      <c r="I21" s="93" t="n"/>
      <c r="J21" s="48">
        <f>(C21 * I21)</f>
        <v/>
      </c>
    </row>
    <row r="22" ht="18" customHeight="1">
      <c r="B22" s="50" t="n"/>
      <c r="C22" s="51" t="n"/>
      <c r="D22" s="50" t="n"/>
      <c r="E22" s="52" t="n"/>
      <c r="F22" s="53" t="n"/>
      <c r="G22" s="54" t="n"/>
      <c r="H22" s="55" t="n"/>
      <c r="I22" s="93" t="n"/>
      <c r="J22" s="48">
        <f>(C22 * I22)</f>
        <v/>
      </c>
    </row>
    <row r="23" ht="18" customHeight="1">
      <c r="B23" s="50" t="n"/>
      <c r="C23" s="51" t="n"/>
      <c r="D23" s="50" t="n"/>
      <c r="E23" s="52" t="n"/>
      <c r="F23" s="53" t="n"/>
      <c r="G23" s="54" t="n"/>
      <c r="H23" s="55" t="n"/>
      <c r="I23" s="93" t="n"/>
      <c r="J23" s="48">
        <f>(C23 * I23)</f>
        <v/>
      </c>
    </row>
    <row r="24" ht="18" customHeight="1">
      <c r="B24" s="50" t="n"/>
      <c r="C24" s="51" t="n"/>
      <c r="D24" s="50" t="n"/>
      <c r="E24" s="52" t="n"/>
      <c r="F24" s="53" t="n"/>
      <c r="G24" s="54" t="n"/>
      <c r="H24" s="55" t="n"/>
      <c r="I24" s="93" t="n"/>
      <c r="J24" s="48">
        <f>(C24 * I24)</f>
        <v/>
      </c>
    </row>
    <row r="25" ht="18" customHeight="1">
      <c r="B25" s="50" t="n"/>
      <c r="C25" s="51" t="n"/>
      <c r="D25" s="50" t="n"/>
      <c r="E25" s="52" t="n"/>
      <c r="F25" s="53" t="n"/>
      <c r="G25" s="54" t="n"/>
      <c r="H25" s="55" t="n"/>
      <c r="I25" s="93" t="n"/>
      <c r="J25" s="48">
        <f>(C25 * I25)</f>
        <v/>
      </c>
    </row>
    <row r="26" ht="18" customHeight="1">
      <c r="B26" s="50" t="n"/>
      <c r="C26" s="51" t="n"/>
      <c r="D26" s="50" t="n"/>
      <c r="E26" s="52" t="n"/>
      <c r="F26" s="53" t="n"/>
      <c r="G26" s="54" t="n"/>
      <c r="H26" s="55" t="n"/>
      <c r="I26" s="93" t="n"/>
      <c r="J26" s="48">
        <f>(C26 * I26)</f>
        <v/>
      </c>
    </row>
    <row r="27" ht="18" customHeight="1">
      <c r="B27" s="50" t="n"/>
      <c r="C27" s="51" t="n"/>
      <c r="D27" s="50" t="n"/>
      <c r="E27" s="52" t="n"/>
      <c r="F27" s="53" t="n"/>
      <c r="G27" s="54" t="n"/>
      <c r="H27" s="55" t="n"/>
      <c r="I27" s="93" t="n"/>
      <c r="J27" s="48">
        <f>(C27 * I27)</f>
        <v/>
      </c>
    </row>
    <row r="28" ht="18" customHeight="1">
      <c r="B28" s="50" t="n"/>
      <c r="C28" s="51" t="n"/>
      <c r="D28" s="50" t="n"/>
      <c r="E28" s="52" t="n"/>
      <c r="F28" s="53" t="n"/>
      <c r="G28" s="54" t="n"/>
      <c r="H28" s="55" t="n"/>
      <c r="I28" s="93" t="n"/>
      <c r="J28" s="48">
        <f>(C28 * I28)</f>
        <v/>
      </c>
    </row>
    <row r="29" ht="18" customHeight="1">
      <c r="B29" s="50" t="n"/>
      <c r="C29" s="51" t="n"/>
      <c r="D29" s="50" t="n"/>
      <c r="E29" s="52" t="n"/>
      <c r="F29" s="53" t="n"/>
      <c r="G29" s="54" t="n"/>
      <c r="H29" s="55" t="n"/>
      <c r="I29" s="93" t="n"/>
      <c r="J29" s="48">
        <f>(C29 * I29)</f>
        <v/>
      </c>
    </row>
    <row r="30" ht="18" customHeight="1">
      <c r="B30" s="57" t="n"/>
      <c r="C30" s="57" t="n"/>
      <c r="D30" s="54" t="n"/>
      <c r="E30" s="58" t="n"/>
      <c r="F30" s="53" t="n"/>
      <c r="G30" s="54" t="n"/>
      <c r="H30" s="55" t="n"/>
      <c r="I30" s="94" t="n"/>
      <c r="J30" s="48">
        <f>(C30 * I30)</f>
        <v/>
      </c>
    </row>
    <row r="31" ht="18" customHeight="1">
      <c r="B31" s="57" t="n"/>
      <c r="C31" s="57" t="n"/>
      <c r="D31" s="54" t="n"/>
      <c r="E31" s="58" t="n"/>
      <c r="F31" s="53" t="n"/>
      <c r="G31" s="54" t="n"/>
      <c r="H31" s="55" t="n"/>
      <c r="I31" s="94" t="n"/>
      <c r="J31" s="48">
        <f>(C31 * I31)</f>
        <v/>
      </c>
    </row>
    <row r="32" ht="18" customHeight="1">
      <c r="B32" s="57" t="n"/>
      <c r="C32" s="57" t="n"/>
      <c r="D32" s="54" t="n"/>
      <c r="E32" s="57" t="n"/>
      <c r="F32" s="53" t="n"/>
      <c r="G32" s="57" t="n"/>
      <c r="H32" s="55" t="n"/>
      <c r="I32" s="94" t="n"/>
      <c r="J32" s="48">
        <f>(C32 * I32)</f>
        <v/>
      </c>
    </row>
    <row r="33" ht="18" customHeight="1">
      <c r="B33" s="57" t="n"/>
      <c r="C33" s="57" t="n"/>
      <c r="D33" s="54" t="n"/>
      <c r="E33" s="57" t="n"/>
      <c r="F33" s="53" t="n"/>
      <c r="G33" s="57" t="n"/>
      <c r="H33" s="55" t="n"/>
      <c r="I33" s="94" t="n"/>
      <c r="J33" s="48">
        <f>(C33 * I33)</f>
        <v/>
      </c>
    </row>
    <row r="34" ht="18" customHeight="1">
      <c r="B34" s="57" t="n"/>
      <c r="C34" s="57" t="n"/>
      <c r="D34" s="54" t="n"/>
      <c r="E34" s="57" t="n"/>
      <c r="F34" s="53" t="n"/>
      <c r="G34" s="57" t="n"/>
      <c r="H34" s="55" t="n"/>
      <c r="I34" s="94" t="n"/>
      <c r="J34" s="48">
        <f>(C34 * I34)</f>
        <v/>
      </c>
    </row>
    <row r="35" ht="18" customHeight="1">
      <c r="B35" s="57" t="n"/>
      <c r="C35" s="57" t="n"/>
      <c r="D35" s="54" t="n"/>
      <c r="E35" s="57" t="n"/>
      <c r="F35" s="53" t="n"/>
      <c r="G35" s="57" t="n"/>
      <c r="H35" s="55" t="n"/>
      <c r="I35" s="94" t="n"/>
      <c r="J35" s="48">
        <f>(C35 * I35)</f>
        <v/>
      </c>
    </row>
    <row r="36" ht="18" customHeight="1">
      <c r="B36" s="57" t="n"/>
      <c r="C36" s="57" t="n"/>
      <c r="D36" s="54" t="n"/>
      <c r="E36" s="57" t="n"/>
      <c r="F36" s="53" t="n"/>
      <c r="G36" s="57" t="n"/>
      <c r="H36" s="55" t="n"/>
      <c r="I36" s="94" t="n"/>
      <c r="J36" s="48">
        <f>(C36 * I36)</f>
        <v/>
      </c>
    </row>
    <row r="37" ht="18" customHeight="1">
      <c r="B37" s="57" t="n"/>
      <c r="C37" s="57" t="n"/>
      <c r="D37" s="54" t="n"/>
      <c r="E37" s="57" t="n"/>
      <c r="F37" s="53" t="n"/>
      <c r="G37" s="57" t="n"/>
      <c r="H37" s="55" t="n"/>
      <c r="I37" s="94" t="n"/>
      <c r="J37" s="48">
        <f>(C37 * I37)</f>
        <v/>
      </c>
    </row>
    <row r="38" ht="18" customHeight="1">
      <c r="B38" s="57" t="n"/>
      <c r="C38" s="57" t="n"/>
      <c r="D38" s="54" t="n"/>
      <c r="E38" s="57" t="n"/>
      <c r="F38" s="53" t="n"/>
      <c r="G38" s="57" t="n"/>
      <c r="H38" s="55" t="n"/>
      <c r="I38" s="94" t="n"/>
      <c r="J38" s="48">
        <f>(C38 * I38)</f>
        <v/>
      </c>
    </row>
    <row r="39" ht="18" customHeight="1">
      <c r="B39" s="57" t="n"/>
      <c r="C39" s="57" t="n"/>
      <c r="D39" s="54" t="n"/>
      <c r="E39" s="57" t="n"/>
      <c r="F39" s="53" t="n"/>
      <c r="G39" s="57" t="n"/>
      <c r="H39" s="55" t="n"/>
      <c r="I39" s="94" t="n"/>
      <c r="J39" s="48">
        <f>(C39 * I39)</f>
        <v/>
      </c>
    </row>
    <row r="40" ht="18" customHeight="1">
      <c r="B40" s="57" t="n"/>
      <c r="C40" s="57" t="n"/>
      <c r="D40" s="54" t="n"/>
      <c r="E40" s="57" t="n"/>
      <c r="F40" s="53" t="n"/>
      <c r="G40" s="57" t="n"/>
      <c r="H40" s="55" t="n"/>
      <c r="I40" s="94" t="n"/>
      <c r="J40" s="48">
        <f>(C40 * I40)</f>
        <v/>
      </c>
    </row>
    <row r="41" ht="18" customHeight="1">
      <c r="B41" s="60" t="n"/>
      <c r="C41" s="61" t="n"/>
      <c r="D41" s="62" t="n"/>
      <c r="E41" s="60" t="n"/>
      <c r="F41" s="63" t="n"/>
      <c r="G41" s="60" t="n"/>
      <c r="H41" s="64" t="n"/>
      <c r="I41" s="95" t="n"/>
      <c r="J41" s="48">
        <f>(C41 * I41)</f>
        <v/>
      </c>
    </row>
    <row r="42" hidden="1" ht="18" customHeight="1">
      <c r="B42" s="60" t="n"/>
      <c r="C42" s="61" t="n"/>
      <c r="D42" s="62" t="n"/>
      <c r="E42" s="60" t="n"/>
      <c r="F42" s="63" t="n"/>
      <c r="G42" s="60" t="n"/>
      <c r="H42" s="64" t="n"/>
      <c r="I42" s="95" t="n"/>
      <c r="J42" s="48">
        <f>(C42 * I42)</f>
        <v/>
      </c>
    </row>
    <row r="43" hidden="1" ht="18" customHeight="1">
      <c r="B43" s="60" t="n"/>
      <c r="C43" s="61" t="n"/>
      <c r="D43" s="62" t="n"/>
      <c r="E43" s="60" t="n"/>
      <c r="F43" s="63" t="n"/>
      <c r="G43" s="60" t="n"/>
      <c r="H43" s="64" t="n"/>
      <c r="I43" s="95" t="n"/>
      <c r="J43" s="48">
        <f>(C43 * I43)</f>
        <v/>
      </c>
    </row>
    <row r="44" hidden="1" ht="18" customHeight="1">
      <c r="B44" s="66" t="n"/>
      <c r="C44" s="61" t="n"/>
      <c r="D44" s="62" t="n"/>
      <c r="E44" s="60" t="n"/>
      <c r="F44" s="63" t="n"/>
      <c r="G44" s="60" t="n"/>
      <c r="H44" s="64" t="n"/>
      <c r="I44" s="95" t="n"/>
      <c r="J44" s="48">
        <f>(C44 * I44)</f>
        <v/>
      </c>
    </row>
    <row r="45" hidden="1" ht="18" customHeight="1">
      <c r="B45" s="66" t="n"/>
      <c r="C45" s="61" t="n"/>
      <c r="D45" s="62" t="n"/>
      <c r="E45" s="60" t="n"/>
      <c r="F45" s="63" t="n"/>
      <c r="G45" s="60" t="n"/>
      <c r="H45" s="64" t="n"/>
      <c r="I45" s="95" t="n"/>
      <c r="J45" s="48">
        <f>(C45 * I45)</f>
        <v/>
      </c>
    </row>
    <row r="46" hidden="1" ht="18" customHeight="1">
      <c r="B46" s="58" t="n"/>
      <c r="C46" s="42" t="n"/>
      <c r="D46" s="43" t="n"/>
      <c r="E46" s="45" t="n"/>
      <c r="F46" s="44" t="n"/>
      <c r="G46" s="45" t="n"/>
      <c r="H46" s="46" t="n"/>
      <c r="I46" s="96" t="n"/>
      <c r="J46" s="48">
        <f>(C46 * I46)</f>
        <v/>
      </c>
    </row>
    <row r="47" hidden="1" ht="18" customHeight="1">
      <c r="B47" s="58" t="n"/>
      <c r="C47" s="58" t="n"/>
      <c r="D47" s="43" t="n"/>
      <c r="E47" s="45" t="n"/>
      <c r="F47" s="44" t="n"/>
      <c r="G47" s="43" t="n"/>
      <c r="H47" s="46" t="n"/>
      <c r="I47" s="96" t="n"/>
      <c r="J47" s="48">
        <f>(C47 * I47)</f>
        <v/>
      </c>
    </row>
    <row r="48" hidden="1" ht="18" customHeight="1">
      <c r="B48" s="43" t="n"/>
      <c r="C48" s="43" t="n"/>
      <c r="D48" s="43" t="n"/>
      <c r="E48" s="45" t="n"/>
      <c r="F48" s="44" t="n"/>
      <c r="G48" s="43" t="n"/>
      <c r="H48" s="46" t="n"/>
      <c r="I48" s="96" t="n"/>
      <c r="J48" s="48">
        <f>(C48 * I48)</f>
        <v/>
      </c>
    </row>
    <row r="49" hidden="1" ht="18" customHeight="1">
      <c r="B49" s="43" t="n"/>
      <c r="C49" s="43" t="n"/>
      <c r="D49" s="43" t="n"/>
      <c r="E49" s="45" t="n"/>
      <c r="F49" s="44" t="n"/>
      <c r="G49" s="43" t="n"/>
      <c r="H49" s="46" t="n"/>
      <c r="I49" s="96" t="n"/>
      <c r="J49" s="48">
        <f>(C49 * I49)</f>
        <v/>
      </c>
    </row>
    <row r="50" hidden="1" ht="18" customHeight="1">
      <c r="B50" s="43" t="n"/>
      <c r="C50" s="43" t="n"/>
      <c r="D50" s="43" t="n"/>
      <c r="E50" s="45" t="n"/>
      <c r="F50" s="44" t="n"/>
      <c r="G50" s="43" t="n"/>
      <c r="H50" s="46" t="n"/>
      <c r="I50" s="96" t="n"/>
      <c r="J50" s="48">
        <f>(C50 * I50)</f>
        <v/>
      </c>
    </row>
    <row r="51" ht="15.75" customHeight="1">
      <c r="B51" s="69" t="n"/>
      <c r="C51" s="97" t="n"/>
      <c r="D51" s="97" t="n"/>
      <c r="E51" s="97" t="n"/>
      <c r="F51" s="69" t="n"/>
      <c r="G51" s="69" t="n"/>
      <c r="H51" s="98" t="n"/>
      <c r="I51" s="90" t="n"/>
      <c r="J51" s="99" t="n"/>
    </row>
    <row r="52" ht="15.75" customHeight="1">
      <c r="B52" s="73" t="n"/>
      <c r="F52" s="74" t="n"/>
      <c r="G52" s="74" t="n"/>
      <c r="H52" s="75" t="inlineStr">
        <is>
          <t>SUBTOTAL</t>
        </is>
      </c>
      <c r="I52" s="75" t="inlineStr">
        <is>
          <t>TOTAL</t>
        </is>
      </c>
      <c r="J52" s="76">
        <f>SUM(J11:J51)</f>
        <v/>
      </c>
    </row>
    <row r="53" ht="15.75" customHeight="1">
      <c r="B53" s="77" t="n"/>
      <c r="C53" s="78" t="n"/>
      <c r="D53" s="78" t="n"/>
      <c r="E53" s="78" t="n"/>
      <c r="F53" s="78" t="n"/>
      <c r="G53" s="78" t="n"/>
    </row>
  </sheetData>
  <mergeCells count="9">
    <mergeCell ref="D4:J4"/>
    <mergeCell ref="D10:E10"/>
    <mergeCell ref="B2:C3"/>
    <mergeCell ref="D3:J3"/>
    <mergeCell ref="B52:E52"/>
    <mergeCell ref="H51:I51"/>
    <mergeCell ref="D5:J7"/>
    <mergeCell ref="D2:J2"/>
    <mergeCell ref="B51:E51"/>
  </mergeCells>
  <pageMargins left="0.5118110236220472" right="0.5118110236220472" top="0.7874015748031497" bottom="0.7874015748031497" header="0.3149606299212598" footer="0.3149606299212598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2026-05-28T17:22:16Z</dcterms:modified>
  <cp:lastModifiedBy>User</cp:lastModifiedBy>
</cp:coreProperties>
</file>