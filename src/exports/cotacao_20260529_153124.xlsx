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665" tabRatio="600" firstSheet="0" activeTab="0" autoFilterDateGrouping="1"/>
  </bookViews>
  <sheets>
    <sheet name="Cotaçao1 (267)" sheetId="1" state="visible" r:id="rId1"/>
  </sheets>
  <definedNames>
    <definedName name="_xlnm.Print_Area" localSheetId="0">'Cotaçao1 (267)'!$A$1:$H$36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R$ -416]#,##0.00"/>
    <numFmt numFmtId="165" formatCode="_-&quot;R$&quot;\ * #,##0.00_-;\-&quot;R$&quot;\ * #,##0.00_-;_-&quot;R$&quot;\ * &quot;-&quot;??_-;_-@_-"/>
  </numFmts>
  <fonts count="1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Gotham"/>
      <color rgb="FF000000"/>
      <sz val="36"/>
    </font>
    <font>
      <name val="Gotham"/>
      <color rgb="FF000000"/>
      <sz val="20"/>
    </font>
    <font>
      <name val="Arial"/>
      <family val="2"/>
      <color rgb="FF000000"/>
      <sz val="36"/>
    </font>
    <font>
      <name val="Gotham"/>
      <b val="1"/>
      <color theme="1"/>
      <sz val="12"/>
    </font>
    <font>
      <name val="Gotham"/>
      <color theme="1"/>
      <sz val="12"/>
    </font>
    <font>
      <name val="Gotham"/>
      <color rgb="FFFF0000"/>
      <sz val="12"/>
    </font>
    <font>
      <name val="Gotham"/>
      <color theme="1"/>
      <sz val="11"/>
    </font>
    <font>
      <name val="Arial"/>
      <family val="2"/>
      <color theme="1"/>
      <sz val="12"/>
    </font>
    <font>
      <name val="Calibri"/>
      <family val="2"/>
      <color theme="1"/>
      <sz val="15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Gotham"/>
      <b val="1"/>
      <color theme="1"/>
      <sz val="13"/>
    </font>
    <font>
      <name val="Gotham"/>
      <color rgb="FF000000"/>
      <sz val="12"/>
    </font>
  </fonts>
  <fills count="3">
    <fill>
      <patternFill/>
    </fill>
    <fill>
      <patternFill patternType="gray125"/>
    </fill>
    <fill>
      <patternFill patternType="solid">
        <fgColor rgb="FFFFFF00"/>
        <bgColor rgb="FFFFE9EA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1" fillId="0" borderId="0"/>
    <xf numFmtId="44" fontId="1" fillId="0" borderId="0"/>
  </cellStyleXfs>
  <cellXfs count="5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14" fontId="6" fillId="0" borderId="2" pivotButton="0" quotePrefix="0" xfId="0"/>
    <xf numFmtId="0" fontId="5" fillId="0" borderId="7" applyAlignment="1" pivotButton="0" quotePrefix="0" xfId="0">
      <alignment horizontal="left"/>
    </xf>
    <xf numFmtId="0" fontId="0" fillId="0" borderId="8" applyAlignment="1" pivotButton="0" quotePrefix="0" xfId="0">
      <alignment horizontal="center" vertical="center"/>
    </xf>
    <xf numFmtId="164" fontId="6" fillId="0" borderId="8" pivotButton="0" quotePrefix="0" xfId="0"/>
    <xf numFmtId="0" fontId="5" fillId="0" borderId="4" applyAlignment="1" pivotButton="0" quotePrefix="0" xfId="0">
      <alignment horizontal="left"/>
    </xf>
    <xf numFmtId="14" fontId="6" fillId="0" borderId="5" pivotButton="0" quotePrefix="0" xfId="0"/>
    <xf numFmtId="0" fontId="8" fillId="0" borderId="0" applyAlignment="1" pivotButton="0" quotePrefix="0" xfId="0">
      <alignment horizontal="left"/>
    </xf>
    <xf numFmtId="0" fontId="8" fillId="0" borderId="0" pivotButton="0" quotePrefix="0" xfId="0"/>
    <xf numFmtId="0" fontId="6" fillId="0" borderId="0" applyAlignment="1" pivotButton="0" quotePrefix="0" xfId="0">
      <alignment horizontal="left"/>
    </xf>
    <xf numFmtId="0" fontId="6" fillId="0" borderId="0" pivotButton="0" quotePrefix="0" xfId="0"/>
    <xf numFmtId="0" fontId="6" fillId="0" borderId="17" applyAlignment="1" pivotButton="0" quotePrefix="0" xfId="0">
      <alignment horizontal="center"/>
    </xf>
    <xf numFmtId="0" fontId="5" fillId="0" borderId="14" pivotButton="0" quotePrefix="0" xfId="0"/>
    <xf numFmtId="164" fontId="5" fillId="2" borderId="14" pivotButton="0" quotePrefix="0" xfId="0"/>
    <xf numFmtId="0" fontId="9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0" fillId="0" borderId="21" pivotButton="0" quotePrefix="0" xfId="0"/>
    <xf numFmtId="0" fontId="0" fillId="0" borderId="6" pivotButton="0" quotePrefix="0" xfId="0"/>
    <xf numFmtId="0" fontId="2" fillId="0" borderId="1" applyAlignment="1" pivotButton="0" quotePrefix="0" xfId="0">
      <alignment horizontal="center" vertical="top"/>
    </xf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7" fillId="0" borderId="2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6" fillId="0" borderId="0" applyAlignment="1" pivotButton="0" quotePrefix="0" xfId="0">
      <alignment horizontal="center"/>
    </xf>
    <xf numFmtId="0" fontId="3" fillId="0" borderId="3" applyAlignment="1" pivotButton="0" quotePrefix="0" xfId="0">
      <alignment horizontal="center" vertical="top"/>
    </xf>
    <xf numFmtId="0" fontId="5" fillId="0" borderId="6" applyAlignment="1" pivotButton="0" quotePrefix="0" xfId="0">
      <alignment horizontal="center"/>
    </xf>
    <xf numFmtId="0" fontId="10" fillId="0" borderId="0" pivotButton="0" quotePrefix="0" xfId="0"/>
    <xf numFmtId="0" fontId="11" fillId="0" borderId="14" pivotButton="0" quotePrefix="0" xfId="0"/>
    <xf numFmtId="0" fontId="11" fillId="0" borderId="14" applyAlignment="1" pivotButton="0" quotePrefix="0" xfId="0">
      <alignment horizontal="center"/>
    </xf>
    <xf numFmtId="0" fontId="12" fillId="0" borderId="14" pivotButton="0" quotePrefix="0" xfId="0"/>
    <xf numFmtId="165" fontId="11" fillId="0" borderId="14" pivotButton="0" quotePrefix="0" xfId="1"/>
    <xf numFmtId="164" fontId="11" fillId="0" borderId="14" applyAlignment="1" pivotButton="0" quotePrefix="0" xfId="0">
      <alignment horizontal="left" vertical="center"/>
    </xf>
    <xf numFmtId="0" fontId="11" fillId="0" borderId="14" applyAlignment="1" pivotButton="0" quotePrefix="0" xfId="0">
      <alignment horizontal="left"/>
    </xf>
    <xf numFmtId="165" fontId="12" fillId="0" borderId="14" pivotButton="0" quotePrefix="0" xfId="1"/>
    <xf numFmtId="0" fontId="12" fillId="0" borderId="14" applyAlignment="1" pivotButton="0" quotePrefix="0" xfId="0">
      <alignment horizontal="center"/>
    </xf>
    <xf numFmtId="0" fontId="12" fillId="0" borderId="14" applyAlignment="1" pivotButton="0" quotePrefix="0" xfId="0">
      <alignment horizontal="left"/>
    </xf>
    <xf numFmtId="0" fontId="13" fillId="0" borderId="14" applyAlignment="1" pivotButton="0" quotePrefix="0" xfId="0">
      <alignment horizontal="left" vertical="center"/>
    </xf>
    <xf numFmtId="0" fontId="13" fillId="0" borderId="16" applyAlignment="1" pivotButton="0" quotePrefix="0" xfId="0">
      <alignment horizontal="left" vertical="center"/>
    </xf>
    <xf numFmtId="0" fontId="13" fillId="0" borderId="15" applyAlignment="1" pivotButton="0" quotePrefix="0" xfId="0">
      <alignment horizontal="center" vertical="center"/>
    </xf>
    <xf numFmtId="0" fontId="5" fillId="0" borderId="23" applyAlignment="1" pivotButton="0" quotePrefix="0" xfId="0">
      <alignment horizontal="center"/>
    </xf>
    <xf numFmtId="0" fontId="5" fillId="0" borderId="21" applyAlignment="1" pivotButton="0" quotePrefix="0" xfId="0">
      <alignment horizontal="center"/>
    </xf>
    <xf numFmtId="0" fontId="14" fillId="0" borderId="3" applyAlignment="1" pivotButton="0" quotePrefix="0" xfId="0">
      <alignment horizontal="center" vertical="top" wrapText="1"/>
    </xf>
    <xf numFmtId="0" fontId="11" fillId="0" borderId="21" pivotButton="0" quotePrefix="0" xfId="0"/>
    <xf numFmtId="0" fontId="11" fillId="0" borderId="6" pivotButton="0" quotePrefix="0" xfId="0"/>
    <xf numFmtId="0" fontId="5" fillId="0" borderId="3" applyAlignment="1" pivotButton="0" quotePrefix="0" xfId="0">
      <alignment horizontal="center"/>
    </xf>
    <xf numFmtId="165" fontId="11" fillId="0" borderId="14" pivotButton="0" quotePrefix="0" xfId="1"/>
    <xf numFmtId="165" fontId="12" fillId="0" borderId="14" pivotButton="0" quotePrefix="0" xfId="1"/>
  </cellXfs>
  <cellStyles count="2">
    <cellStyle name="Normal" xfId="0" builtinId="0"/>
    <cellStyle name="Moeda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57150</colOff>
      <row>1</row>
      <rowOff>57150</rowOff>
    </from>
    <to>
      <col>2</col>
      <colOff>1038225</colOff>
      <row>2</row>
      <rowOff>409575</rowOff>
    </to>
    <pic>
      <nvPicPr>
        <cNvPr id="2" name="Picture 1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209550" y="209550"/>
          <a:ext cx="4181475" cy="7143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42"/>
  <sheetViews>
    <sheetView showGridLines="0" tabSelected="1" zoomScaleNormal="100" workbookViewId="0">
      <pane ySplit="10" topLeftCell="A11" activePane="bottomLeft" state="frozen"/>
      <selection pane="bottomLeft" activeCell="D14" sqref="D14"/>
    </sheetView>
  </sheetViews>
  <sheetFormatPr baseColWidth="8" defaultRowHeight="15"/>
  <cols>
    <col width="2.28515625" customWidth="1" style="28" min="1" max="1"/>
    <col width="49" customWidth="1" style="1" min="2" max="2"/>
    <col width="14.5703125" customWidth="1" style="28" min="3" max="3"/>
    <col width="35.85546875" customWidth="1" style="28" min="4" max="4"/>
    <col width="31.42578125" customWidth="1" style="28" min="5" max="5"/>
    <col width="20" customWidth="1" style="28" min="6" max="6"/>
    <col width="19.85546875" customWidth="1" style="28" min="7" max="7"/>
    <col width="2.7109375" customWidth="1" style="28" min="8" max="8"/>
    <col hidden="1" style="28" min="9" max="15"/>
  </cols>
  <sheetData>
    <row r="1" ht="12" customHeight="1" s="28" thickBot="1"/>
    <row r="2" ht="28.5" customHeight="1" s="28" thickBot="1">
      <c r="B2" s="21" t="n"/>
      <c r="C2" s="22" t="n"/>
      <c r="D2" s="33" t="inlineStr">
        <is>
          <t>COTAÇAO</t>
        </is>
      </c>
      <c r="E2" s="19" t="n"/>
      <c r="F2" s="19" t="n"/>
      <c r="G2" s="20" t="n"/>
      <c r="H2" s="2" t="n"/>
    </row>
    <row r="3" ht="36.75" customHeight="1" s="28" thickBot="1">
      <c r="B3" s="23" t="n"/>
      <c r="C3" s="24" t="n"/>
      <c r="D3" s="50" t="inlineStr">
        <is>
          <t xml:space="preserve">        AVENIDA PORTUGAL 4262 - BAIRRO ITAPOA                                                                                         BELO HORIZONTE - MG CNPJ 00.289.864/0002-56</t>
        </is>
      </c>
      <c r="E3" s="19" t="n"/>
      <c r="F3" s="19" t="n"/>
      <c r="G3" s="20" t="n"/>
      <c r="H3" s="2" t="n"/>
    </row>
    <row r="4" ht="18" customHeight="1" s="28" thickBot="1">
      <c r="B4" s="3" t="inlineStr">
        <is>
          <t>Data</t>
        </is>
      </c>
      <c r="C4" s="4" t="n"/>
      <c r="D4" s="53" t="inlineStr">
        <is>
          <t>Forma de pagamento</t>
        </is>
      </c>
      <c r="E4" s="19" t="n"/>
      <c r="F4" s="19" t="n"/>
      <c r="G4" s="20" t="n"/>
    </row>
    <row r="5" ht="18" customHeight="1" s="28" thickBot="1">
      <c r="B5" s="5" t="inlineStr">
        <is>
          <t>Nº do orçamento</t>
        </is>
      </c>
      <c r="C5" s="6" t="n"/>
      <c r="D5" s="25" t="inlineStr">
        <is>
          <t>30/60 dias</t>
        </is>
      </c>
      <c r="E5" s="26" t="n"/>
      <c r="F5" s="26" t="n"/>
      <c r="G5" s="27" t="n"/>
    </row>
    <row r="6" ht="15.75" customHeight="1" s="28">
      <c r="B6" s="5" t="inlineStr">
        <is>
          <t>Valor total Com Desconto</t>
        </is>
      </c>
      <c r="C6" s="7">
        <f>(G36)</f>
        <v/>
      </c>
      <c r="G6" s="29" t="n"/>
    </row>
    <row r="7" ht="18" customHeight="1" s="28" thickBot="1">
      <c r="B7" s="8" t="inlineStr">
        <is>
          <t>Válido até</t>
        </is>
      </c>
      <c r="C7" s="9" t="n"/>
      <c r="D7" s="30" t="n"/>
      <c r="E7" s="30" t="n"/>
      <c r="F7" s="30" t="n"/>
      <c r="G7" s="31" t="n"/>
    </row>
    <row r="8">
      <c r="B8" s="10" t="n"/>
      <c r="C8" s="11" t="n"/>
      <c r="D8" s="11" t="n"/>
      <c r="E8" s="11" t="n"/>
      <c r="F8" s="11" t="n"/>
      <c r="G8" s="11" t="n"/>
    </row>
    <row r="9" ht="5.25" customHeight="1" s="28">
      <c r="B9" s="12" t="n"/>
      <c r="C9" s="13" t="n"/>
      <c r="D9" s="13" t="n"/>
      <c r="E9" s="13" t="n"/>
      <c r="F9" s="13" t="n"/>
      <c r="G9" s="13" t="n"/>
    </row>
    <row r="10" ht="16.5" customHeight="1" s="28">
      <c r="B10" s="45" t="inlineStr">
        <is>
          <t>CÓDIGO</t>
        </is>
      </c>
      <c r="C10" s="45" t="inlineStr">
        <is>
          <t>QTD</t>
        </is>
      </c>
      <c r="D10" s="46" t="inlineStr">
        <is>
          <t xml:space="preserve">DESCRIÇÃO </t>
        </is>
      </c>
      <c r="E10" s="45" t="inlineStr">
        <is>
          <t>MARCA</t>
        </is>
      </c>
      <c r="F10" s="45" t="inlineStr">
        <is>
          <t>VALOR</t>
        </is>
      </c>
      <c r="G10" s="47" t="inlineStr">
        <is>
          <t>VALOR TOTAL</t>
        </is>
      </c>
    </row>
    <row r="11" ht="23.1" customFormat="1" customHeight="1" s="35">
      <c r="B11" s="36" t="inlineStr">
        <is>
          <t>382-0664</t>
        </is>
      </c>
      <c r="C11" s="37" t="inlineStr">
        <is>
          <t>1</t>
        </is>
      </c>
      <c r="D11" s="38" t="inlineStr">
        <is>
          <t>FILTRO SEPARADOR DE AGUA</t>
        </is>
      </c>
      <c r="E11" s="36" t="n"/>
      <c r="F11" s="54" t="n"/>
      <c r="G11" s="40">
        <f>(C11 * F11)</f>
        <v/>
      </c>
    </row>
    <row r="12" ht="23.1" customFormat="1" customHeight="1" s="35">
      <c r="B12" s="41" t="inlineStr">
        <is>
          <t>3223155</t>
        </is>
      </c>
      <c r="C12" s="37" t="inlineStr">
        <is>
          <t>1</t>
        </is>
      </c>
      <c r="D12" s="38" t="inlineStr">
        <is>
          <t>FILTRO LUBRIFICANTE</t>
        </is>
      </c>
      <c r="E12" s="36" t="n"/>
      <c r="F12" s="54" t="n"/>
      <c r="G12" s="40">
        <f>(C12 * F12)</f>
        <v/>
      </c>
    </row>
    <row r="13" ht="23.1" customFormat="1" customHeight="1" s="35">
      <c r="B13" s="41" t="inlineStr">
        <is>
          <t>131-8822</t>
        </is>
      </c>
      <c r="C13" s="37" t="inlineStr">
        <is>
          <t>1</t>
        </is>
      </c>
      <c r="D13" s="38" t="inlineStr">
        <is>
          <t>FILTRO AR</t>
        </is>
      </c>
      <c r="E13" s="36" t="n"/>
      <c r="F13" s="54" t="n"/>
      <c r="G13" s="40">
        <f>(C13 * F13)</f>
        <v/>
      </c>
    </row>
    <row r="14" ht="23.1" customFormat="1" customHeight="1" s="35">
      <c r="B14" s="36" t="inlineStr">
        <is>
          <t>17867</t>
        </is>
      </c>
      <c r="C14" s="37" t="inlineStr">
        <is>
          <t>1</t>
        </is>
      </c>
      <c r="D14" s="38" t="inlineStr">
        <is>
          <t>FILTRO</t>
        </is>
      </c>
      <c r="E14" s="36" t="n"/>
      <c r="F14" s="54" t="n"/>
      <c r="G14" s="40">
        <f>(C14 * F14)</f>
        <v/>
      </c>
    </row>
    <row r="15" ht="23.1" customFormat="1" customHeight="1" s="35">
      <c r="B15" s="36" t="inlineStr">
        <is>
          <t>9611973</t>
        </is>
      </c>
      <c r="C15" s="37" t="inlineStr">
        <is>
          <t>1</t>
        </is>
      </c>
      <c r="D15" s="38" t="inlineStr">
        <is>
          <t>CASE</t>
        </is>
      </c>
      <c r="E15" s="36" t="n"/>
      <c r="F15" s="55" t="n"/>
      <c r="G15" s="40">
        <f>(C15 * F15)</f>
        <v/>
      </c>
    </row>
    <row r="16" ht="23.1" customFormat="1" customHeight="1" s="35">
      <c r="B16" s="36" t="inlineStr">
        <is>
          <t>17868</t>
        </is>
      </c>
      <c r="C16" s="37" t="inlineStr">
        <is>
          <t>1</t>
        </is>
      </c>
      <c r="D16" s="38" t="inlineStr">
        <is>
          <t>FILTRO</t>
        </is>
      </c>
      <c r="E16" s="36" t="n"/>
      <c r="F16" s="55" t="n"/>
      <c r="G16" s="40">
        <f>(C16 * F16)</f>
        <v/>
      </c>
    </row>
    <row r="17" ht="23.1" customFormat="1" customHeight="1" s="35">
      <c r="B17" s="36" t="inlineStr">
        <is>
          <t>86982522</t>
        </is>
      </c>
      <c r="C17" s="37" t="inlineStr">
        <is>
          <t>1</t>
        </is>
      </c>
      <c r="D17" s="38" t="inlineStr">
        <is>
          <t>FILTRO AR</t>
        </is>
      </c>
      <c r="E17" s="36" t="n"/>
      <c r="F17" s="55" t="n"/>
      <c r="G17" s="40">
        <f>(C17 * F17)</f>
        <v/>
      </c>
    </row>
    <row r="18" ht="23.1" customFormat="1" customHeight="1" s="35">
      <c r="B18" s="38" t="inlineStr">
        <is>
          <t>17870</t>
        </is>
      </c>
      <c r="C18" s="43" t="inlineStr">
        <is>
          <t>1</t>
        </is>
      </c>
      <c r="D18" s="38" t="inlineStr">
        <is>
          <t>FILTRO</t>
        </is>
      </c>
      <c r="E18" s="36" t="n"/>
      <c r="F18" s="55" t="n"/>
      <c r="G18" s="40">
        <f>(C18 * F18)</f>
        <v/>
      </c>
    </row>
    <row r="19" ht="23.1" customFormat="1" customHeight="1" s="35">
      <c r="B19" s="38" t="inlineStr">
        <is>
          <t>84475542</t>
        </is>
      </c>
      <c r="C19" s="43" t="inlineStr">
        <is>
          <t>1</t>
        </is>
      </c>
      <c r="D19" s="38" t="inlineStr">
        <is>
          <t>GLEO CASE</t>
        </is>
      </c>
      <c r="E19" s="36" t="n"/>
      <c r="F19" s="55" t="n"/>
      <c r="G19" s="40">
        <f>(C19 * F19)</f>
        <v/>
      </c>
    </row>
    <row r="20" ht="23.1" customFormat="1" customHeight="1" s="35">
      <c r="B20" s="44" t="inlineStr">
        <is>
          <t>22134</t>
        </is>
      </c>
      <c r="C20" s="43" t="inlineStr">
        <is>
          <t>1</t>
        </is>
      </c>
      <c r="D20" s="38" t="inlineStr">
        <is>
          <t>FILTRO</t>
        </is>
      </c>
      <c r="E20" s="36" t="n"/>
      <c r="F20" s="55" t="n"/>
      <c r="G20" s="40">
        <f>(C20 * F20)</f>
        <v/>
      </c>
    </row>
    <row r="21" ht="23.1" customFormat="1" customHeight="1" s="35">
      <c r="B21" s="38" t="inlineStr">
        <is>
          <t>47456328</t>
        </is>
      </c>
      <c r="C21" s="43" t="inlineStr">
        <is>
          <t>1</t>
        </is>
      </c>
      <c r="D21" s="38" t="inlineStr">
        <is>
          <t>FILTRO LUBRIFICANTE</t>
        </is>
      </c>
      <c r="E21" s="38" t="n"/>
      <c r="F21" s="55" t="n"/>
      <c r="G21" s="40">
        <f>(C21 * F21)</f>
        <v/>
      </c>
    </row>
    <row r="22" ht="23.1" customFormat="1" customHeight="1" s="35">
      <c r="B22" s="38" t="inlineStr">
        <is>
          <t>17872</t>
        </is>
      </c>
      <c r="C22" s="43" t="inlineStr">
        <is>
          <t>1</t>
        </is>
      </c>
      <c r="D22" s="38" t="inlineStr">
        <is>
          <t>FILTRO</t>
        </is>
      </c>
      <c r="E22" s="38" t="n"/>
      <c r="F22" s="55" t="n"/>
      <c r="G22" s="40">
        <f>(C22 * F22)</f>
        <v/>
      </c>
    </row>
    <row r="23" ht="23.1" customFormat="1" customHeight="1" s="35">
      <c r="B23" s="38" t="inlineStr">
        <is>
          <t>84376815</t>
        </is>
      </c>
      <c r="C23" s="43" t="inlineStr">
        <is>
          <t>1</t>
        </is>
      </c>
      <c r="D23" s="38" t="inlineStr">
        <is>
          <t>FILTRO AR</t>
        </is>
      </c>
      <c r="E23" s="38" t="n"/>
      <c r="F23" s="55" t="n"/>
      <c r="G23" s="40">
        <f>(C23 * F23)</f>
        <v/>
      </c>
    </row>
    <row r="24" ht="23.1" customFormat="1" customHeight="1" s="35">
      <c r="B24" s="38" t="inlineStr">
        <is>
          <t>23050</t>
        </is>
      </c>
      <c r="C24" s="38" t="inlineStr">
        <is>
          <t>1</t>
        </is>
      </c>
      <c r="D24" s="38" t="inlineStr">
        <is>
          <t>FILTRO</t>
        </is>
      </c>
      <c r="E24" s="38" t="n"/>
      <c r="F24" s="55" t="n"/>
      <c r="G24" s="40">
        <f>(C24 * F24)</f>
        <v/>
      </c>
    </row>
    <row r="25" ht="23.1" customFormat="1" customHeight="1" s="35">
      <c r="B25" s="38" t="inlineStr">
        <is>
          <t>87606706</t>
        </is>
      </c>
      <c r="C25" s="38" t="inlineStr">
        <is>
          <t>1</t>
        </is>
      </c>
      <c r="D25" s="38" t="inlineStr">
        <is>
          <t>CASE</t>
        </is>
      </c>
      <c r="E25" s="38" t="n"/>
      <c r="F25" s="55" t="n"/>
      <c r="G25" s="40">
        <f>(C25 * F25)</f>
        <v/>
      </c>
    </row>
    <row r="26" ht="23.1" customFormat="1" customHeight="1" s="35">
      <c r="B26" s="38" t="inlineStr">
        <is>
          <t>17874</t>
        </is>
      </c>
      <c r="C26" s="38" t="inlineStr">
        <is>
          <t>1</t>
        </is>
      </c>
      <c r="D26" s="38" t="inlineStr">
        <is>
          <t>FILTRO</t>
        </is>
      </c>
      <c r="E26" s="38" t="n"/>
      <c r="F26" s="55" t="n"/>
      <c r="G26" s="40">
        <f>(C26 * F26)</f>
        <v/>
      </c>
    </row>
    <row r="27" ht="23.1" customFormat="1" customHeight="1" s="35">
      <c r="B27" s="38" t="inlineStr">
        <is>
          <t>SBA110536010</t>
        </is>
      </c>
      <c r="C27" s="38" t="inlineStr">
        <is>
          <t>1</t>
        </is>
      </c>
      <c r="D27" s="38" t="inlineStr">
        <is>
          <t>OMS CASE</t>
        </is>
      </c>
      <c r="E27" s="38" t="n"/>
      <c r="F27" s="55" t="n"/>
      <c r="G27" s="40">
        <f>(C27 * F27)</f>
        <v/>
      </c>
    </row>
    <row r="28" ht="23.1" customFormat="1" customHeight="1" s="35">
      <c r="B28" s="38" t="inlineStr">
        <is>
          <t>35128</t>
        </is>
      </c>
      <c r="C28" s="38" t="inlineStr">
        <is>
          <t>1</t>
        </is>
      </c>
      <c r="D28" s="38" t="inlineStr">
        <is>
          <t>FILTRO</t>
        </is>
      </c>
      <c r="E28" s="38" t="n"/>
      <c r="F28" s="55" t="n"/>
      <c r="G28" s="40">
        <f>(C28 * F28)</f>
        <v/>
      </c>
    </row>
    <row r="29" ht="23.1" customFormat="1" customHeight="1" s="35">
      <c r="B29" s="38" t="inlineStr">
        <is>
          <t>47433412</t>
        </is>
      </c>
      <c r="C29" s="38" t="inlineStr">
        <is>
          <t>1</t>
        </is>
      </c>
      <c r="D29" s="38" t="inlineStr">
        <is>
          <t>CASE</t>
        </is>
      </c>
      <c r="E29" s="38" t="n"/>
      <c r="F29" s="55" t="n"/>
      <c r="G29" s="40">
        <f>(C29 * F29)</f>
        <v/>
      </c>
    </row>
    <row r="30" ht="23.1" customFormat="1" customHeight="1" s="35">
      <c r="B30" s="36" t="inlineStr">
        <is>
          <t>7176099</t>
        </is>
      </c>
      <c r="C30" s="36" t="inlineStr">
        <is>
          <t>1</t>
        </is>
      </c>
      <c r="D30" s="38" t="inlineStr">
        <is>
          <t>FILTRO AR</t>
        </is>
      </c>
      <c r="E30" s="38" t="n"/>
      <c r="F30" s="54" t="n"/>
      <c r="G30" s="40">
        <f>(C30 * F30)</f>
        <v/>
      </c>
    </row>
    <row r="31" ht="23.1" customFormat="1" customHeight="1" s="35">
      <c r="B31" s="36" t="inlineStr">
        <is>
          <t>31652</t>
        </is>
      </c>
      <c r="C31" s="36" t="inlineStr">
        <is>
          <t>1</t>
        </is>
      </c>
      <c r="D31" s="38" t="inlineStr">
        <is>
          <t>FILTRO</t>
        </is>
      </c>
      <c r="E31" s="38" t="n"/>
      <c r="F31" s="54" t="n"/>
      <c r="G31" s="40">
        <f>(C31 * F31)</f>
        <v/>
      </c>
    </row>
    <row r="32" ht="23.1" customFormat="1" customHeight="1" s="35">
      <c r="B32" s="36" t="inlineStr">
        <is>
          <t>7247169</t>
        </is>
      </c>
      <c r="C32" s="36" t="inlineStr">
        <is>
          <t>1</t>
        </is>
      </c>
      <c r="D32" s="38" t="inlineStr">
        <is>
          <t>FILTRO</t>
        </is>
      </c>
      <c r="E32" s="36" t="n"/>
      <c r="F32" s="54" t="n"/>
      <c r="G32" s="40">
        <f>(C32 * F32)</f>
        <v/>
      </c>
    </row>
    <row r="33" ht="23.1" customFormat="1" customHeight="1" s="35">
      <c r="B33" s="36" t="inlineStr">
        <is>
          <t>6666375</t>
        </is>
      </c>
      <c r="C33" s="36" t="inlineStr">
        <is>
          <t>1</t>
        </is>
      </c>
      <c r="D33" s="38" t="inlineStr">
        <is>
          <t>FILTRO AR</t>
        </is>
      </c>
      <c r="E33" s="36" t="n"/>
      <c r="F33" s="54" t="n"/>
      <c r="G33" s="40">
        <f>(C33 * F33)</f>
        <v/>
      </c>
    </row>
    <row r="34" ht="23.1" customFormat="1" customHeight="1" s="35">
      <c r="B34" s="36" t="inlineStr">
        <is>
          <t>38154</t>
        </is>
      </c>
      <c r="C34" s="36" t="inlineStr">
        <is>
          <t>1</t>
        </is>
      </c>
      <c r="D34" s="38" t="inlineStr">
        <is>
          <t>FILTRO</t>
        </is>
      </c>
      <c r="E34" s="36" t="n"/>
      <c r="F34" s="54" t="n"/>
      <c r="G34" s="40">
        <f>(C34 * F34)</f>
        <v/>
      </c>
    </row>
    <row r="35" ht="23.1" customFormat="1" customHeight="1" s="35">
      <c r="B35" s="36" t="inlineStr">
        <is>
          <t>7008379</t>
        </is>
      </c>
      <c r="C35" s="36" t="inlineStr">
        <is>
          <t>1</t>
        </is>
      </c>
      <c r="D35" s="38" t="inlineStr">
        <is>
          <t>FILTRO LUBRIFICANTE</t>
        </is>
      </c>
      <c r="E35" s="36" t="n"/>
      <c r="F35" s="54" t="n"/>
      <c r="G35" s="40">
        <f>(C35 * F35)</f>
        <v/>
      </c>
    </row>
    <row r="36" ht="15.75" customHeight="1" s="28">
      <c r="B36" s="32" t="inlineStr">
        <is>
          <t>1023746</t>
        </is>
      </c>
      <c r="C36" t="inlineStr">
        <is>
          <t>1</t>
        </is>
      </c>
      <c r="D36" t="inlineStr">
        <is>
          <t>FILTRO AR</t>
        </is>
      </c>
      <c r="E36" s="14" t="n"/>
      <c r="F36" s="15" t="inlineStr">
        <is>
          <t>TOTAL</t>
        </is>
      </c>
      <c r="G36" s="16">
        <f>SUM(G11:G35)</f>
        <v/>
      </c>
    </row>
    <row r="37" ht="15.75" customHeight="1" s="28">
      <c r="B37" s="17" t="inlineStr">
        <is>
          <t>5895</t>
        </is>
      </c>
      <c r="C37" s="18" t="inlineStr">
        <is>
          <t>1</t>
        </is>
      </c>
      <c r="D37" s="18" t="inlineStr">
        <is>
          <t>FILTRO</t>
        </is>
      </c>
      <c r="E37" s="18" t="n"/>
    </row>
    <row r="38">
      <c r="B38" t="inlineStr">
        <is>
          <t>6670207</t>
        </is>
      </c>
      <c r="C38" t="inlineStr">
        <is>
          <t>1</t>
        </is>
      </c>
      <c r="D38" t="inlineStr">
        <is>
          <t>FILTRO</t>
        </is>
      </c>
    </row>
    <row r="39">
      <c r="B39" t="inlineStr">
        <is>
          <t>38153</t>
        </is>
      </c>
      <c r="C39" t="inlineStr">
        <is>
          <t>1</t>
        </is>
      </c>
      <c r="D39" t="inlineStr">
        <is>
          <t>FILTRO</t>
        </is>
      </c>
    </row>
    <row r="40">
      <c r="B40" t="inlineStr">
        <is>
          <t>7340277</t>
        </is>
      </c>
      <c r="C40" t="inlineStr">
        <is>
          <t>1</t>
        </is>
      </c>
      <c r="D40" t="inlineStr">
        <is>
          <t>FILTRO</t>
        </is>
      </c>
    </row>
    <row r="41">
      <c r="B41" t="inlineStr">
        <is>
          <t>38152</t>
        </is>
      </c>
      <c r="C41" t="inlineStr">
        <is>
          <t>1</t>
        </is>
      </c>
      <c r="D41" t="inlineStr">
        <is>
          <t>FILTRO</t>
        </is>
      </c>
    </row>
    <row r="42">
      <c r="B42" t="inlineStr">
        <is>
          <t>7178328</t>
        </is>
      </c>
      <c r="C42" t="inlineStr">
        <is>
          <t>1</t>
        </is>
      </c>
      <c r="D42" t="inlineStr">
        <is>
          <t>FILTRO AR</t>
        </is>
      </c>
    </row>
  </sheetData>
  <mergeCells count="5">
    <mergeCell ref="D3:G3"/>
    <mergeCell ref="B2:C3"/>
    <mergeCell ref="D5:G7"/>
    <mergeCell ref="D2:G2"/>
    <mergeCell ref="D4:G4"/>
  </mergeCells>
  <pageMargins left="0.5118110236220472" right="0.5118110236220472" top="0.7874015748031497" bottom="0.7874015748031497" header="0.3149606299212598" footer="0.3149606299212598"/>
  <pageSetup orientation="landscape" paperSize="9" scale="6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2026-05-28T12:02:27Z</dcterms:created>
  <dcterms:modified xsi:type="dcterms:W3CDTF">2026-05-29T18:31:24Z</dcterms:modified>
  <cp:lastModifiedBy>User</cp:lastModifiedBy>
  <cp:lastPrinted>2026-05-28T20:33:57Z</cp:lastPrinted>
</cp:coreProperties>
</file>